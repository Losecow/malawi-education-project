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secow/Desktop/"/>
    </mc:Choice>
  </mc:AlternateContent>
  <xr:revisionPtr revIDLastSave="0" documentId="8_{21A4F839-E173-2F43-98E9-7C3CA7C6F2DC}" xr6:coauthVersionLast="47" xr6:coauthVersionMax="47" xr10:uidLastSave="{00000000-0000-0000-0000-000000000000}"/>
  <bookViews>
    <workbookView xWindow="1460" yWindow="1460" windowWidth="27700" windowHeight="16580" xr2:uid="{7C173C30-E4AC-BE45-B039-B6D9A8DC17C7}"/>
  </bookViews>
  <sheets>
    <sheet name="Excel Tutori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4" i="1" l="1"/>
  <c r="C123" i="1"/>
  <c r="C122" i="1"/>
  <c r="C121" i="1"/>
  <c r="C120" i="1"/>
  <c r="C119" i="1"/>
  <c r="D109" i="1"/>
  <c r="D108" i="1"/>
  <c r="D104" i="1"/>
  <c r="D103" i="1"/>
  <c r="D102" i="1"/>
  <c r="D101" i="1"/>
  <c r="D100" i="1"/>
  <c r="D99" i="1"/>
  <c r="C94" i="1"/>
  <c r="C93" i="1"/>
  <c r="C92" i="1"/>
  <c r="C86" i="1"/>
  <c r="C85" i="1"/>
  <c r="C84" i="1"/>
  <c r="C79" i="1"/>
  <c r="C72" i="1"/>
  <c r="C67" i="1"/>
  <c r="C61" i="1"/>
  <c r="C55" i="1"/>
  <c r="F50" i="1"/>
  <c r="E50" i="1"/>
  <c r="D50" i="1"/>
  <c r="C50" i="1"/>
  <c r="C44" i="1"/>
  <c r="C43" i="1"/>
  <c r="C42" i="1"/>
  <c r="C33" i="1"/>
  <c r="C32" i="1"/>
  <c r="C27" i="1"/>
  <c r="C26" i="1"/>
  <c r="C25" i="1"/>
  <c r="E15" i="1"/>
  <c r="E14" i="1"/>
  <c r="E13" i="1"/>
  <c r="C8" i="1"/>
</calcChain>
</file>

<file path=xl/sharedStrings.xml><?xml version="1.0" encoding="utf-8"?>
<sst xmlns="http://schemas.openxmlformats.org/spreadsheetml/2006/main" count="166" uniqueCount="125">
  <si>
    <t>EXCEL TUTORIAL — WORKED EXAMPLES</t>
  </si>
  <si>
    <t>One section per lesson (17 topics). Blue numbers are inputs you can change — black cells are live formulas that recalculate.</t>
  </si>
  <si>
    <t>01 | Excel HOME</t>
  </si>
  <si>
    <t>Concept</t>
  </si>
  <si>
    <t>Excel stores data in cells arranged in rows (1, 2, 3…) and columns (A, B, C…). A cell address is column + row, e.g. A1.</t>
  </si>
  <si>
    <t>Example</t>
  </si>
  <si>
    <t>First number</t>
  </si>
  <si>
    <t>Second number</t>
  </si>
  <si>
    <t>Sum</t>
  </si>
  <si>
    <t>← =C6+C7</t>
  </si>
  <si>
    <t>02 | Excel Introduction</t>
  </si>
  <si>
    <t>Excel is used to organize, calculate and analyze data — budgets, price lists, reports.</t>
  </si>
  <si>
    <t>Item</t>
  </si>
  <si>
    <t>Qty</t>
  </si>
  <si>
    <t>Price</t>
  </si>
  <si>
    <t>Total</t>
  </si>
  <si>
    <t>Notebook</t>
  </si>
  <si>
    <t>Pen</t>
  </si>
  <si>
    <t>03 | Excel Get Started</t>
  </si>
  <si>
    <t>Click a cell, type, press Enter. Text aligns left by default, numbers and dates align right.</t>
  </si>
  <si>
    <t>Text entry</t>
  </si>
  <si>
    <t>Hello Excel</t>
  </si>
  <si>
    <t>← aligns left</t>
  </si>
  <si>
    <t>Number entry</t>
  </si>
  <si>
    <t>← aligns right</t>
  </si>
  <si>
    <t>Date entry</t>
  </si>
  <si>
    <t>← stored as a number, shown as a date</t>
  </si>
  <si>
    <t>04 | Excel Overview</t>
  </si>
  <si>
    <t>The Name Box shows the active cell address; the Formula Bar shows what is inside it.</t>
  </si>
  <si>
    <t>This cell's own address</t>
  </si>
  <si>
    <t>Its row number</t>
  </si>
  <si>
    <t>Its column number</t>
  </si>
  <si>
    <t>05 | Excel Syntax</t>
  </si>
  <si>
    <t>Every formula starts with = . A function is a name followed by arguments in parentheses: =SUM(C31:D31)</t>
  </si>
  <si>
    <t>Values</t>
  </si>
  <si>
    <t>=C31+D31</t>
  </si>
  <si>
    <t>← operator syntax</t>
  </si>
  <si>
    <t>=SUM(C31:D31)</t>
  </si>
  <si>
    <t>← function syntax (same result)</t>
  </si>
  <si>
    <t>06 | Excel Ranges</t>
  </si>
  <si>
    <t>A range is a block of cells written first:last, e.g. C37:C41.</t>
  </si>
  <si>
    <t>Range C37:C41</t>
  </si>
  <si>
    <t>=SUM(C37:C41)</t>
  </si>
  <si>
    <t>=AVERAGE(C37:C41)</t>
  </si>
  <si>
    <t>=COUNT(C37:C41)</t>
  </si>
  <si>
    <t>07 | Excel Fill</t>
  </si>
  <si>
    <t>Drag the small square at the bottom-right of a selection (the fill handle) to copy a value or continue a series.</t>
  </si>
  <si>
    <t>Number series</t>
  </si>
  <si>
    <t>Month series</t>
  </si>
  <si>
    <t>Jan</t>
  </si>
  <si>
    <t>Feb</t>
  </si>
  <si>
    <t>Mar</t>
  </si>
  <si>
    <t>Apr</t>
  </si>
  <si>
    <t>Formula filled across</t>
  </si>
  <si>
    <t>08 | Excel Move Cells</t>
  </si>
  <si>
    <t>Cut (Ctrl+X) and paste (Ctrl+V), or drag the selection border, to move cells. Formulas follow the cells they point to.</t>
  </si>
  <si>
    <t>Original value</t>
  </si>
  <si>
    <t>Reference to it</t>
  </si>
  <si>
    <t>← move C54 somewhere else and this reference updates by itself</t>
  </si>
  <si>
    <t>09 | Excel Add Cells</t>
  </si>
  <si>
    <t>Right-click a row or column header → Insert. A range inside a formula expands to cover the newly inserted rows.</t>
  </si>
  <si>
    <t>Value</t>
  </si>
  <si>
    <t>=SUM(C59:C60)</t>
  </si>
  <si>
    <t>← insert a row between them and the range grows automatically</t>
  </si>
  <si>
    <t>10 | Excel Delete Cells</t>
  </si>
  <si>
    <t>Delete removes cells and shifts the rest. If a formula loses a cell it points at directly, it returns the #REF! error.</t>
  </si>
  <si>
    <t>=SUM(C65:C66)</t>
  </si>
  <si>
    <t>← a range survives a deletion; a direct link like =C65 would become #REF!</t>
  </si>
  <si>
    <t>11 | Excel Undo Redo</t>
  </si>
  <si>
    <t>Ctrl+Z undoes the last action, Ctrl+Y redoes it.</t>
  </si>
  <si>
    <t>Change this number, then press Ctrl+Z</t>
  </si>
  <si>
    <t>Doubled</t>
  </si>
  <si>
    <t>12 | Excel Formulas</t>
  </si>
  <si>
    <t>A formula does the arithmetic for you and recalculates whenever one of its inputs changes.</t>
  </si>
  <si>
    <t>Quantity</t>
  </si>
  <si>
    <t>Discount</t>
  </si>
  <si>
    <t>Total = Price x Qty x (1 - Discount)</t>
  </si>
  <si>
    <t>13 | Excel Relative Reference</t>
  </si>
  <si>
    <t>A plain reference like B84 shifts when the formula is copied — row 84 becomes row 85, and so on.</t>
  </si>
  <si>
    <t>Formula used</t>
  </si>
  <si>
    <t>=B84*2</t>
  </si>
  <si>
    <t>=B85*2</t>
  </si>
  <si>
    <t>=B86*2</t>
  </si>
  <si>
    <t>14 | Excel Absolute Reference</t>
  </si>
  <si>
    <t>A $ locks part of a reference. $C$90 keeps pointing at the same cell no matter where the formula is copied.</t>
  </si>
  <si>
    <t>Tax rate (shared input)</t>
  </si>
  <si>
    <t>Amount</t>
  </si>
  <si>
    <t>Tax</t>
  </si>
  <si>
    <t>=B92*$C$90</t>
  </si>
  <si>
    <t>=B93*$C$90</t>
  </si>
  <si>
    <t>=B94*$C$90 — the row moves, $C$90 does not</t>
  </si>
  <si>
    <t>15 | Excel Arithmetic Operators</t>
  </si>
  <si>
    <t>The six arithmetic operators: + add, - subtract, * multiply, / divide, % percent, ^ power.</t>
  </si>
  <si>
    <t>Operator</t>
  </si>
  <si>
    <t>Formula</t>
  </si>
  <si>
    <t>Live result</t>
  </si>
  <si>
    <t>=10+3</t>
  </si>
  <si>
    <t>=10-3</t>
  </si>
  <si>
    <t>=10*3</t>
  </si>
  <si>
    <t>=10/4</t>
  </si>
  <si>
    <t>=10%</t>
  </si>
  <si>
    <t>=10^3</t>
  </si>
  <si>
    <t>16 | Excel Parentheses</t>
  </si>
  <si>
    <t>Excel does * and / before + and - . Parentheses force the part inside to be calculated first.</t>
  </si>
  <si>
    <t>Without parentheses</t>
  </si>
  <si>
    <t>=2+3*4</t>
  </si>
  <si>
    <t>← 3*4 first, then +2</t>
  </si>
  <si>
    <t>With parentheses</t>
  </si>
  <si>
    <t>=(2+3)*4</t>
  </si>
  <si>
    <t>← 2+3 first, then *4</t>
  </si>
  <si>
    <t>17 | Excel Functions</t>
  </si>
  <si>
    <t>Functions are ready-made formulas: SUM, AVERAGE, MIN, MAX, COUNT, IF.</t>
  </si>
  <si>
    <t>Data (C114:C118)</t>
  </si>
  <si>
    <t>=SUM(C114:C118)</t>
  </si>
  <si>
    <t>=AVERAGE(C114:C118)</t>
  </si>
  <si>
    <t>=MIN(C114:C118)</t>
  </si>
  <si>
    <t>=MAX(C114:C118)</t>
  </si>
  <si>
    <t>=COUNT(C114:C118)</t>
  </si>
  <si>
    <t>=IF(C119&gt;100,"High","Low")</t>
  </si>
  <si>
    <t>Addition ( + )</t>
  </si>
  <si>
    <t>Subtraction ( - )</t>
  </si>
  <si>
    <t>Multiplication ( * )</t>
  </si>
  <si>
    <t>Division ( / )</t>
  </si>
  <si>
    <t>Percent ( % )</t>
  </si>
  <si>
    <t>Exponent ( ^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</si>
</sst>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&quot;₩&quot;#,##0.00"/>
    <numFmt numFmtId="181" formatCode="yyyy\-mm\-dd"/>
    <numFmt numFmtId="182" formatCode="0.0%"/>
  </numFmts>
  <fonts count="10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Calibri"/>
      <family val="2"/>
    </font>
    <font>
      <sz val="12"/>
      <color theme="1"/>
      <name val="Calibri"/>
      <family val="2"/>
    </font>
    <font>
      <i/>
      <sz val="12"/>
      <color rgb="FF595959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rgb="FF595959"/>
      <name val="Calibri"/>
      <family val="2"/>
    </font>
    <font>
      <sz val="12"/>
      <color rgb="FF0000FF"/>
      <name val="Calibri"/>
      <family val="2"/>
    </font>
    <font>
      <sz val="12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4" borderId="0" xfId="0" applyFont="1" applyFill="1">
      <alignment vertical="center"/>
    </xf>
    <xf numFmtId="180" fontId="8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8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0" fontId="8" fillId="5" borderId="0" xfId="0" applyFont="1" applyFill="1">
      <alignment vertical="center"/>
    </xf>
    <xf numFmtId="182" fontId="8" fillId="0" borderId="0" xfId="0" applyNumberFormat="1" applyFont="1">
      <alignment vertical="center"/>
    </xf>
    <xf numFmtId="0" fontId="9" fillId="0" borderId="0" xfId="0" quotePrefix="1" applyFont="1">
      <alignment vertical="center"/>
    </xf>
    <xf numFmtId="182" fontId="8" fillId="5" borderId="0" xfId="0" applyNumberFormat="1" applyFont="1" applyFill="1">
      <alignment vertical="center"/>
    </xf>
    <xf numFmtId="49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8ACD0E-84B6-6C4B-BD7E-8CEADD06903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46c7698-9e41-4efc-89f8-b2916d4e947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B842-F1D8-8942-BD7E-BE7B3EA49644}">
  <dimension ref="A1:F124"/>
  <sheetViews>
    <sheetView showGridLines="0" tabSelected="1" zoomScale="44" workbookViewId="0">
      <pane ySplit="2" topLeftCell="A69" activePane="bottomLeft" state="frozen"/>
      <selection pane="bottomLeft" activeCell="D86" sqref="D86"/>
    </sheetView>
  </sheetViews>
  <sheetFormatPr baseColWidth="10" defaultRowHeight="18"/>
  <cols>
    <col min="1" max="1" width="18.5703125" customWidth="1"/>
    <col min="2" max="2" width="32.85546875" customWidth="1"/>
    <col min="3" max="3" width="15.7109375" customWidth="1"/>
    <col min="4" max="4" width="28.5703125" customWidth="1"/>
    <col min="5" max="5" width="22.85546875" customWidth="1"/>
    <col min="6" max="6" width="12.85546875" customWidth="1"/>
  </cols>
  <sheetData>
    <row r="1" spans="1:6" ht="30" customHeight="1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6" t="s">
        <v>2</v>
      </c>
      <c r="B4" s="7"/>
      <c r="C4" s="7"/>
      <c r="D4" s="7"/>
      <c r="E4" s="7"/>
      <c r="F4" s="5"/>
    </row>
    <row r="5" spans="1:6">
      <c r="A5" s="8" t="s">
        <v>3</v>
      </c>
      <c r="B5" s="9" t="s">
        <v>4</v>
      </c>
      <c r="C5" s="5"/>
      <c r="D5" s="5"/>
      <c r="E5" s="5"/>
      <c r="F5" s="5"/>
    </row>
    <row r="6" spans="1:6">
      <c r="A6" s="8" t="s">
        <v>5</v>
      </c>
      <c r="B6" s="5" t="s">
        <v>6</v>
      </c>
      <c r="C6" s="10">
        <v>10</v>
      </c>
      <c r="D6" s="5"/>
      <c r="E6" s="5"/>
      <c r="F6" s="5"/>
    </row>
    <row r="7" spans="1:6">
      <c r="A7" s="5"/>
      <c r="B7" s="5" t="s">
        <v>7</v>
      </c>
      <c r="C7" s="10">
        <v>20</v>
      </c>
      <c r="D7" s="5"/>
      <c r="E7" s="5"/>
      <c r="F7" s="5"/>
    </row>
    <row r="8" spans="1:6">
      <c r="A8" s="5"/>
      <c r="B8" s="5" t="s">
        <v>8</v>
      </c>
      <c r="C8" s="5">
        <f>C6+C7</f>
        <v>30</v>
      </c>
      <c r="D8" s="11" t="s">
        <v>9</v>
      </c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6" t="s">
        <v>10</v>
      </c>
      <c r="B10" s="7"/>
      <c r="C10" s="7"/>
      <c r="D10" s="7"/>
      <c r="E10" s="7"/>
      <c r="F10" s="5"/>
    </row>
    <row r="11" spans="1:6">
      <c r="A11" s="8" t="s">
        <v>3</v>
      </c>
      <c r="B11" s="9" t="s">
        <v>11</v>
      </c>
      <c r="C11" s="5"/>
      <c r="D11" s="5"/>
      <c r="E11" s="5"/>
      <c r="F11" s="5"/>
    </row>
    <row r="12" spans="1:6">
      <c r="A12" s="8" t="s">
        <v>5</v>
      </c>
      <c r="B12" s="12" t="s">
        <v>12</v>
      </c>
      <c r="C12" s="12" t="s">
        <v>13</v>
      </c>
      <c r="D12" s="12" t="s">
        <v>14</v>
      </c>
      <c r="E12" s="12" t="s">
        <v>15</v>
      </c>
      <c r="F12" s="5"/>
    </row>
    <row r="13" spans="1:6">
      <c r="A13" s="5"/>
      <c r="B13" s="5" t="s">
        <v>16</v>
      </c>
      <c r="C13" s="10">
        <v>3</v>
      </c>
      <c r="D13" s="13">
        <v>2.5</v>
      </c>
      <c r="E13" s="14">
        <f>C13*D13</f>
        <v>7.5</v>
      </c>
      <c r="F13" s="5"/>
    </row>
    <row r="14" spans="1:6">
      <c r="A14" s="5"/>
      <c r="B14" s="5" t="s">
        <v>17</v>
      </c>
      <c r="C14" s="10">
        <v>10</v>
      </c>
      <c r="D14" s="13">
        <v>0.8</v>
      </c>
      <c r="E14" s="14">
        <f>C14*D14</f>
        <v>8</v>
      </c>
      <c r="F14" s="5"/>
    </row>
    <row r="15" spans="1:6">
      <c r="A15" s="5"/>
      <c r="B15" s="8" t="s">
        <v>15</v>
      </c>
      <c r="C15" s="5"/>
      <c r="D15" s="5"/>
      <c r="E15" s="15">
        <f>SUM(E13:E14)</f>
        <v>15.5</v>
      </c>
      <c r="F15" s="5"/>
    </row>
    <row r="16" spans="1:6">
      <c r="A16" s="5"/>
      <c r="B16" s="5"/>
      <c r="C16" s="5"/>
      <c r="D16" s="5"/>
      <c r="E16" s="5"/>
      <c r="F16" s="5"/>
    </row>
    <row r="17" spans="1:6">
      <c r="A17" s="6" t="s">
        <v>18</v>
      </c>
      <c r="B17" s="7"/>
      <c r="C17" s="7"/>
      <c r="D17" s="7"/>
      <c r="E17" s="7"/>
      <c r="F17" s="5"/>
    </row>
    <row r="18" spans="1:6">
      <c r="A18" s="8" t="s">
        <v>3</v>
      </c>
      <c r="B18" s="9" t="s">
        <v>19</v>
      </c>
      <c r="C18" s="5"/>
      <c r="D18" s="5"/>
      <c r="E18" s="5"/>
      <c r="F18" s="5"/>
    </row>
    <row r="19" spans="1:6">
      <c r="A19" s="8" t="s">
        <v>5</v>
      </c>
      <c r="B19" s="5" t="s">
        <v>20</v>
      </c>
      <c r="C19" s="10" t="s">
        <v>21</v>
      </c>
      <c r="D19" s="11" t="s">
        <v>22</v>
      </c>
      <c r="E19" s="5"/>
      <c r="F19" s="5"/>
    </row>
    <row r="20" spans="1:6">
      <c r="A20" s="5"/>
      <c r="B20" s="5" t="s">
        <v>23</v>
      </c>
      <c r="C20" s="10">
        <v>1234</v>
      </c>
      <c r="D20" s="11" t="s">
        <v>24</v>
      </c>
      <c r="E20" s="5"/>
      <c r="F20" s="5"/>
    </row>
    <row r="21" spans="1:6">
      <c r="A21" s="5"/>
      <c r="B21" s="5" t="s">
        <v>25</v>
      </c>
      <c r="C21" s="16">
        <v>46243</v>
      </c>
      <c r="D21" s="11" t="s">
        <v>26</v>
      </c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6" t="s">
        <v>27</v>
      </c>
      <c r="B23" s="7"/>
      <c r="C23" s="7"/>
      <c r="D23" s="7"/>
      <c r="E23" s="7"/>
      <c r="F23" s="5"/>
    </row>
    <row r="24" spans="1:6">
      <c r="A24" s="8" t="s">
        <v>3</v>
      </c>
      <c r="B24" s="9" t="s">
        <v>28</v>
      </c>
      <c r="C24" s="5"/>
      <c r="D24" s="5"/>
      <c r="E24" s="5"/>
      <c r="F24" s="5"/>
    </row>
    <row r="25" spans="1:6">
      <c r="A25" s="8" t="s">
        <v>5</v>
      </c>
      <c r="B25" s="5" t="s">
        <v>29</v>
      </c>
      <c r="C25" s="5" t="str">
        <f>ADDRESS(ROW(),COLUMN(),4)</f>
        <v>C25</v>
      </c>
      <c r="D25" s="5"/>
      <c r="E25" s="5"/>
      <c r="F25" s="5"/>
    </row>
    <row r="26" spans="1:6">
      <c r="A26" s="5"/>
      <c r="B26" s="5" t="s">
        <v>30</v>
      </c>
      <c r="C26" s="5">
        <f>ROW()</f>
        <v>26</v>
      </c>
      <c r="D26" s="5"/>
      <c r="E26" s="5"/>
      <c r="F26" s="5"/>
    </row>
    <row r="27" spans="1:6">
      <c r="A27" s="5"/>
      <c r="B27" s="5" t="s">
        <v>31</v>
      </c>
      <c r="C27" s="5">
        <f>COLUMN()</f>
        <v>3</v>
      </c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6" t="s">
        <v>32</v>
      </c>
      <c r="B29" s="7"/>
      <c r="C29" s="7"/>
      <c r="D29" s="7"/>
      <c r="E29" s="7"/>
      <c r="F29" s="5"/>
    </row>
    <row r="30" spans="1:6">
      <c r="A30" s="8" t="s">
        <v>3</v>
      </c>
      <c r="B30" s="9" t="s">
        <v>33</v>
      </c>
      <c r="C30" s="5"/>
      <c r="D30" s="5"/>
      <c r="E30" s="5"/>
      <c r="F30" s="5"/>
    </row>
    <row r="31" spans="1:6">
      <c r="A31" s="8" t="s">
        <v>5</v>
      </c>
      <c r="B31" s="5" t="s">
        <v>34</v>
      </c>
      <c r="C31" s="10">
        <v>5</v>
      </c>
      <c r="D31" s="10">
        <v>15</v>
      </c>
      <c r="E31" s="5"/>
      <c r="F31" s="5"/>
    </row>
    <row r="32" spans="1:6">
      <c r="A32" s="5"/>
      <c r="B32" s="17" t="s">
        <v>35</v>
      </c>
      <c r="C32" s="5">
        <f>C31+D31</f>
        <v>20</v>
      </c>
      <c r="D32" s="11" t="s">
        <v>36</v>
      </c>
      <c r="E32" s="5"/>
      <c r="F32" s="5"/>
    </row>
    <row r="33" spans="1:6">
      <c r="A33" s="5"/>
      <c r="B33" s="17" t="s">
        <v>37</v>
      </c>
      <c r="C33" s="5">
        <f>SUM(C31:D31)</f>
        <v>20</v>
      </c>
      <c r="D33" s="11" t="s">
        <v>38</v>
      </c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6" t="s">
        <v>39</v>
      </c>
      <c r="B35" s="7"/>
      <c r="C35" s="7"/>
      <c r="D35" s="7"/>
      <c r="E35" s="7"/>
      <c r="F35" s="5"/>
    </row>
    <row r="36" spans="1:6">
      <c r="A36" s="8" t="s">
        <v>3</v>
      </c>
      <c r="B36" s="9" t="s">
        <v>40</v>
      </c>
      <c r="C36" s="5"/>
      <c r="D36" s="5"/>
      <c r="E36" s="5"/>
      <c r="F36" s="5"/>
    </row>
    <row r="37" spans="1:6">
      <c r="A37" s="8" t="s">
        <v>5</v>
      </c>
      <c r="B37" s="5" t="s">
        <v>41</v>
      </c>
      <c r="C37" s="10">
        <v>10</v>
      </c>
      <c r="D37" s="5"/>
      <c r="E37" s="5"/>
      <c r="F37" s="5"/>
    </row>
    <row r="38" spans="1:6">
      <c r="A38" s="5"/>
      <c r="B38" s="5"/>
      <c r="C38" s="10">
        <v>20</v>
      </c>
      <c r="D38" s="5"/>
      <c r="E38" s="5"/>
      <c r="F38" s="5"/>
    </row>
    <row r="39" spans="1:6">
      <c r="A39" s="5"/>
      <c r="B39" s="5"/>
      <c r="C39" s="10">
        <v>30</v>
      </c>
      <c r="D39" s="5"/>
      <c r="E39" s="5"/>
      <c r="F39" s="5"/>
    </row>
    <row r="40" spans="1:6">
      <c r="A40" s="5"/>
      <c r="B40" s="5"/>
      <c r="C40" s="10">
        <v>40</v>
      </c>
      <c r="D40" s="5"/>
      <c r="E40" s="5"/>
      <c r="F40" s="5"/>
    </row>
    <row r="41" spans="1:6">
      <c r="A41" s="5"/>
      <c r="B41" s="5"/>
      <c r="C41" s="10">
        <v>50</v>
      </c>
      <c r="D41" s="5"/>
      <c r="E41" s="5"/>
      <c r="F41" s="5"/>
    </row>
    <row r="42" spans="1:6">
      <c r="A42" s="5"/>
      <c r="B42" s="17" t="s">
        <v>42</v>
      </c>
      <c r="C42" s="5">
        <f>SUM(C37:C41)</f>
        <v>150</v>
      </c>
      <c r="D42" s="5"/>
      <c r="E42" s="5"/>
      <c r="F42" s="5"/>
    </row>
    <row r="43" spans="1:6">
      <c r="A43" s="5"/>
      <c r="B43" s="17" t="s">
        <v>43</v>
      </c>
      <c r="C43" s="5">
        <f>AVERAGE(C37:C41)</f>
        <v>30</v>
      </c>
      <c r="D43" s="5"/>
      <c r="E43" s="5"/>
      <c r="F43" s="5"/>
    </row>
    <row r="44" spans="1:6">
      <c r="A44" s="5"/>
      <c r="B44" s="17" t="s">
        <v>44</v>
      </c>
      <c r="C44" s="5">
        <f>COUNT(C37:C41)</f>
        <v>5</v>
      </c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6" t="s">
        <v>45</v>
      </c>
      <c r="B46" s="7"/>
      <c r="C46" s="7"/>
      <c r="D46" s="7"/>
      <c r="E46" s="7"/>
      <c r="F46" s="5"/>
    </row>
    <row r="47" spans="1:6">
      <c r="A47" s="8" t="s">
        <v>3</v>
      </c>
      <c r="B47" s="9" t="s">
        <v>46</v>
      </c>
      <c r="C47" s="5"/>
      <c r="D47" s="5"/>
      <c r="E47" s="5"/>
      <c r="F47" s="5"/>
    </row>
    <row r="48" spans="1:6">
      <c r="A48" s="8" t="s">
        <v>5</v>
      </c>
      <c r="B48" s="5" t="s">
        <v>47</v>
      </c>
      <c r="C48" s="10">
        <v>1</v>
      </c>
      <c r="D48" s="10">
        <v>2</v>
      </c>
      <c r="E48" s="10">
        <v>3</v>
      </c>
      <c r="F48" s="10">
        <v>4</v>
      </c>
    </row>
    <row r="49" spans="1:6">
      <c r="A49" s="5"/>
      <c r="B49" s="5" t="s">
        <v>48</v>
      </c>
      <c r="C49" s="10" t="s">
        <v>49</v>
      </c>
      <c r="D49" s="10" t="s">
        <v>50</v>
      </c>
      <c r="E49" s="10" t="s">
        <v>51</v>
      </c>
      <c r="F49" s="10" t="s">
        <v>52</v>
      </c>
    </row>
    <row r="50" spans="1:6">
      <c r="A50" s="5"/>
      <c r="B50" s="5" t="s">
        <v>53</v>
      </c>
      <c r="C50" s="5">
        <f>C48*10</f>
        <v>10</v>
      </c>
      <c r="D50" s="5">
        <f>D48*10</f>
        <v>20</v>
      </c>
      <c r="E50" s="5">
        <f>E48*10</f>
        <v>30</v>
      </c>
      <c r="F50" s="5">
        <f>F48*10</f>
        <v>40</v>
      </c>
    </row>
    <row r="51" spans="1:6">
      <c r="A51" s="5"/>
      <c r="B51" s="5"/>
      <c r="C51" s="5"/>
      <c r="D51" s="5"/>
      <c r="E51" s="5"/>
      <c r="F51" s="5"/>
    </row>
    <row r="52" spans="1:6">
      <c r="A52" s="6" t="s">
        <v>54</v>
      </c>
      <c r="B52" s="7"/>
      <c r="C52" s="7"/>
      <c r="D52" s="7"/>
      <c r="E52" s="7"/>
      <c r="F52" s="5"/>
    </row>
    <row r="53" spans="1:6">
      <c r="A53" s="8" t="s">
        <v>3</v>
      </c>
      <c r="B53" s="9" t="s">
        <v>55</v>
      </c>
      <c r="C53" s="5"/>
      <c r="D53" s="5"/>
      <c r="E53" s="5"/>
      <c r="F53" s="5"/>
    </row>
    <row r="54" spans="1:6">
      <c r="A54" s="8" t="s">
        <v>5</v>
      </c>
      <c r="B54" s="5" t="s">
        <v>56</v>
      </c>
      <c r="C54" s="10">
        <v>100</v>
      </c>
      <c r="D54" s="5"/>
      <c r="E54" s="5"/>
      <c r="F54" s="5"/>
    </row>
    <row r="55" spans="1:6">
      <c r="A55" s="5"/>
      <c r="B55" s="5" t="s">
        <v>57</v>
      </c>
      <c r="C55" s="5">
        <f>C54</f>
        <v>100</v>
      </c>
      <c r="D55" s="11" t="s">
        <v>58</v>
      </c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6" t="s">
        <v>59</v>
      </c>
      <c r="B57" s="7"/>
      <c r="C57" s="7"/>
      <c r="D57" s="7"/>
      <c r="E57" s="7"/>
      <c r="F57" s="5"/>
    </row>
    <row r="58" spans="1:6">
      <c r="A58" s="8" t="s">
        <v>3</v>
      </c>
      <c r="B58" s="9" t="s">
        <v>60</v>
      </c>
      <c r="C58" s="5"/>
      <c r="D58" s="5"/>
      <c r="E58" s="5"/>
      <c r="F58" s="5"/>
    </row>
    <row r="59" spans="1:6">
      <c r="A59" s="8" t="s">
        <v>5</v>
      </c>
      <c r="B59" s="5" t="s">
        <v>61</v>
      </c>
      <c r="C59" s="10">
        <v>5</v>
      </c>
      <c r="D59" s="5"/>
      <c r="E59" s="5"/>
      <c r="F59" s="5"/>
    </row>
    <row r="60" spans="1:6">
      <c r="A60" s="5"/>
      <c r="B60" s="5" t="s">
        <v>61</v>
      </c>
      <c r="C60" s="10">
        <v>15</v>
      </c>
      <c r="D60" s="5"/>
      <c r="E60" s="5"/>
      <c r="F60" s="5"/>
    </row>
    <row r="61" spans="1:6">
      <c r="A61" s="5"/>
      <c r="B61" s="17" t="s">
        <v>62</v>
      </c>
      <c r="C61" s="5">
        <f>SUM(C59:C60)</f>
        <v>20</v>
      </c>
      <c r="D61" s="11" t="s">
        <v>63</v>
      </c>
      <c r="E61" s="5"/>
      <c r="F61" s="5"/>
    </row>
    <row r="62" spans="1:6">
      <c r="A62" s="5"/>
      <c r="B62" s="5"/>
      <c r="C62" s="5"/>
      <c r="D62" s="5"/>
      <c r="E62" s="5"/>
      <c r="F62" s="5"/>
    </row>
    <row r="63" spans="1:6">
      <c r="A63" s="6" t="s">
        <v>64</v>
      </c>
      <c r="B63" s="7"/>
      <c r="C63" s="7"/>
      <c r="D63" s="7"/>
      <c r="E63" s="7"/>
      <c r="F63" s="5"/>
    </row>
    <row r="64" spans="1:6">
      <c r="A64" s="8" t="s">
        <v>3</v>
      </c>
      <c r="B64" s="9" t="s">
        <v>65</v>
      </c>
      <c r="C64" s="5"/>
      <c r="D64" s="5"/>
      <c r="E64" s="5"/>
      <c r="F64" s="5"/>
    </row>
    <row r="65" spans="1:6">
      <c r="A65" s="8" t="s">
        <v>5</v>
      </c>
      <c r="B65" s="5" t="s">
        <v>61</v>
      </c>
      <c r="C65" s="10">
        <v>8</v>
      </c>
      <c r="D65" s="5"/>
      <c r="E65" s="5"/>
      <c r="F65" s="5"/>
    </row>
    <row r="66" spans="1:6">
      <c r="A66" s="5"/>
      <c r="B66" s="5" t="s">
        <v>61</v>
      </c>
      <c r="C66" s="10">
        <v>12</v>
      </c>
      <c r="D66" s="5"/>
      <c r="E66" s="5"/>
      <c r="F66" s="5"/>
    </row>
    <row r="67" spans="1:6">
      <c r="A67" s="5"/>
      <c r="B67" s="17" t="s">
        <v>66</v>
      </c>
      <c r="C67" s="5">
        <f>SUM(C65:C66)</f>
        <v>20</v>
      </c>
      <c r="D67" s="11" t="s">
        <v>67</v>
      </c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6" t="s">
        <v>68</v>
      </c>
      <c r="B69" s="7"/>
      <c r="C69" s="7"/>
      <c r="D69" s="7"/>
      <c r="E69" s="7"/>
      <c r="F69" s="5"/>
    </row>
    <row r="70" spans="1:6">
      <c r="A70" s="8" t="s">
        <v>3</v>
      </c>
      <c r="B70" s="9" t="s">
        <v>69</v>
      </c>
      <c r="C70" s="5"/>
      <c r="D70" s="5"/>
      <c r="E70" s="5"/>
      <c r="F70" s="5"/>
    </row>
    <row r="71" spans="1:6">
      <c r="A71" s="8" t="s">
        <v>5</v>
      </c>
      <c r="B71" s="5" t="s">
        <v>70</v>
      </c>
      <c r="C71" s="18">
        <v>42</v>
      </c>
      <c r="D71" s="5"/>
      <c r="E71" s="5"/>
      <c r="F71" s="5"/>
    </row>
    <row r="72" spans="1:6">
      <c r="A72" s="5"/>
      <c r="B72" s="5" t="s">
        <v>71</v>
      </c>
      <c r="C72" s="5">
        <f>C71*2</f>
        <v>84</v>
      </c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6" t="s">
        <v>72</v>
      </c>
      <c r="B74" s="7"/>
      <c r="C74" s="7"/>
      <c r="D74" s="7"/>
      <c r="E74" s="7"/>
      <c r="F74" s="5"/>
    </row>
    <row r="75" spans="1:6">
      <c r="A75" s="8" t="s">
        <v>3</v>
      </c>
      <c r="B75" s="9" t="s">
        <v>73</v>
      </c>
      <c r="C75" s="5"/>
      <c r="D75" s="5"/>
      <c r="E75" s="5"/>
      <c r="F75" s="5"/>
    </row>
    <row r="76" spans="1:6">
      <c r="A76" s="8" t="s">
        <v>5</v>
      </c>
      <c r="B76" s="5" t="s">
        <v>14</v>
      </c>
      <c r="C76" s="13">
        <v>250</v>
      </c>
      <c r="D76" s="5"/>
      <c r="E76" s="5"/>
      <c r="F76" s="5"/>
    </row>
    <row r="77" spans="1:6">
      <c r="A77" s="5"/>
      <c r="B77" s="5" t="s">
        <v>74</v>
      </c>
      <c r="C77" s="10">
        <v>4</v>
      </c>
      <c r="D77" s="5"/>
      <c r="E77" s="5"/>
      <c r="F77" s="5"/>
    </row>
    <row r="78" spans="1:6">
      <c r="A78" s="5"/>
      <c r="B78" s="5" t="s">
        <v>75</v>
      </c>
      <c r="C78" s="19">
        <v>0.1</v>
      </c>
      <c r="D78" s="5"/>
      <c r="E78" s="5"/>
      <c r="F78" s="5"/>
    </row>
    <row r="79" spans="1:6">
      <c r="A79" s="5"/>
      <c r="B79" s="8" t="s">
        <v>76</v>
      </c>
      <c r="C79" s="15">
        <f>C76*C77*(1-C78)</f>
        <v>900</v>
      </c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  <row r="81" spans="1:6">
      <c r="A81" s="6" t="s">
        <v>77</v>
      </c>
      <c r="B81" s="7"/>
      <c r="C81" s="7"/>
      <c r="D81" s="7"/>
      <c r="E81" s="7"/>
      <c r="F81" s="5"/>
    </row>
    <row r="82" spans="1:6">
      <c r="A82" s="8" t="s">
        <v>3</v>
      </c>
      <c r="B82" s="9" t="s">
        <v>78</v>
      </c>
      <c r="C82" s="5"/>
      <c r="D82" s="5"/>
      <c r="E82" s="5"/>
      <c r="F82" s="5"/>
    </row>
    <row r="83" spans="1:6">
      <c r="A83" s="8" t="s">
        <v>5</v>
      </c>
      <c r="B83" s="12" t="s">
        <v>61</v>
      </c>
      <c r="C83" s="12" t="s">
        <v>71</v>
      </c>
      <c r="D83" s="12" t="s">
        <v>79</v>
      </c>
      <c r="E83" s="5"/>
      <c r="F83" s="5"/>
    </row>
    <row r="84" spans="1:6">
      <c r="A84" s="5"/>
      <c r="B84" s="10">
        <v>2</v>
      </c>
      <c r="C84" s="5">
        <f>B84*2</f>
        <v>4</v>
      </c>
      <c r="D84" s="20" t="s">
        <v>80</v>
      </c>
      <c r="E84" s="5"/>
      <c r="F84" s="5"/>
    </row>
    <row r="85" spans="1:6">
      <c r="A85" s="5"/>
      <c r="B85" s="10">
        <v>4</v>
      </c>
      <c r="C85" s="5">
        <f>B85*2</f>
        <v>8</v>
      </c>
      <c r="D85" s="20" t="s">
        <v>81</v>
      </c>
      <c r="E85" s="5"/>
      <c r="F85" s="5"/>
    </row>
    <row r="86" spans="1:6">
      <c r="A86" s="5"/>
      <c r="B86" s="10">
        <v>6</v>
      </c>
      <c r="C86" s="5">
        <f>B86*2</f>
        <v>12</v>
      </c>
      <c r="D86" s="20" t="s">
        <v>82</v>
      </c>
      <c r="E86" s="5"/>
      <c r="F86" s="5"/>
    </row>
    <row r="87" spans="1:6">
      <c r="A87" s="5"/>
      <c r="B87" s="5"/>
      <c r="C87" s="5"/>
      <c r="D87" s="5"/>
      <c r="E87" s="5"/>
      <c r="F87" s="5"/>
    </row>
    <row r="88" spans="1:6">
      <c r="A88" s="6" t="s">
        <v>83</v>
      </c>
      <c r="B88" s="7"/>
      <c r="C88" s="7"/>
      <c r="D88" s="7"/>
      <c r="E88" s="7"/>
      <c r="F88" s="5"/>
    </row>
    <row r="89" spans="1:6">
      <c r="A89" s="8" t="s">
        <v>3</v>
      </c>
      <c r="B89" s="9" t="s">
        <v>84</v>
      </c>
      <c r="C89" s="5"/>
      <c r="D89" s="5"/>
      <c r="E89" s="5"/>
      <c r="F89" s="5"/>
    </row>
    <row r="90" spans="1:6">
      <c r="A90" s="8" t="s">
        <v>5</v>
      </c>
      <c r="B90" s="5" t="s">
        <v>85</v>
      </c>
      <c r="C90" s="21">
        <v>0.1</v>
      </c>
      <c r="D90" s="5"/>
      <c r="E90" s="5"/>
      <c r="F90" s="5"/>
    </row>
    <row r="91" spans="1:6">
      <c r="A91" s="5"/>
      <c r="B91" s="12" t="s">
        <v>86</v>
      </c>
      <c r="C91" s="12" t="s">
        <v>87</v>
      </c>
      <c r="D91" s="12" t="s">
        <v>79</v>
      </c>
      <c r="E91" s="5"/>
      <c r="F91" s="5"/>
    </row>
    <row r="92" spans="1:6">
      <c r="A92" s="5"/>
      <c r="B92" s="10">
        <v>100</v>
      </c>
      <c r="C92" s="5">
        <f>B92*$C$90</f>
        <v>10</v>
      </c>
      <c r="D92" s="20" t="s">
        <v>88</v>
      </c>
      <c r="E92" s="5"/>
      <c r="F92" s="5"/>
    </row>
    <row r="93" spans="1:6">
      <c r="A93" s="5"/>
      <c r="B93" s="10">
        <v>200</v>
      </c>
      <c r="C93" s="5">
        <f>B93*$C$90</f>
        <v>20</v>
      </c>
      <c r="D93" s="20" t="s">
        <v>89</v>
      </c>
      <c r="E93" s="5"/>
      <c r="F93" s="5"/>
    </row>
    <row r="94" spans="1:6">
      <c r="A94" s="5"/>
      <c r="B94" s="10">
        <v>300</v>
      </c>
      <c r="C94" s="5">
        <f>B94*$C$90</f>
        <v>30</v>
      </c>
      <c r="D94" s="20" t="s">
        <v>90</v>
      </c>
      <c r="E94" s="5"/>
      <c r="F94" s="5"/>
    </row>
    <row r="95" spans="1:6">
      <c r="A95" s="5"/>
      <c r="B95" s="5"/>
      <c r="C95" s="5"/>
      <c r="D95" s="5"/>
      <c r="E95" s="5"/>
      <c r="F95" s="5"/>
    </row>
    <row r="96" spans="1:6">
      <c r="A96" s="6" t="s">
        <v>91</v>
      </c>
      <c r="B96" s="7"/>
      <c r="C96" s="7"/>
      <c r="D96" s="7"/>
      <c r="E96" s="7"/>
      <c r="F96" s="5"/>
    </row>
    <row r="97" spans="1:6">
      <c r="A97" s="8" t="s">
        <v>3</v>
      </c>
      <c r="B97" s="9" t="s">
        <v>92</v>
      </c>
      <c r="C97" s="5"/>
      <c r="D97" s="5"/>
      <c r="E97" s="5"/>
      <c r="F97" s="5"/>
    </row>
    <row r="98" spans="1:6">
      <c r="A98" s="8" t="s">
        <v>5</v>
      </c>
      <c r="B98" s="12" t="s">
        <v>93</v>
      </c>
      <c r="C98" s="12" t="s">
        <v>94</v>
      </c>
      <c r="D98" s="12" t="s">
        <v>95</v>
      </c>
      <c r="E98" s="5"/>
      <c r="F98" s="5"/>
    </row>
    <row r="99" spans="1:6">
      <c r="A99" s="5"/>
      <c r="B99" s="22" t="s">
        <v>119</v>
      </c>
      <c r="C99" s="20" t="s">
        <v>96</v>
      </c>
      <c r="D99" s="5">
        <f>10+3</f>
        <v>13</v>
      </c>
      <c r="E99" s="5"/>
      <c r="F99" s="5"/>
    </row>
    <row r="100" spans="1:6">
      <c r="A100" s="5"/>
      <c r="B100" s="22" t="s">
        <v>120</v>
      </c>
      <c r="C100" s="20" t="s">
        <v>97</v>
      </c>
      <c r="D100" s="5">
        <f>10-3</f>
        <v>7</v>
      </c>
      <c r="E100" s="5"/>
      <c r="F100" s="5"/>
    </row>
    <row r="101" spans="1:6">
      <c r="A101" s="5"/>
      <c r="B101" s="5" t="s">
        <v>121</v>
      </c>
      <c r="C101" s="20" t="s">
        <v>98</v>
      </c>
      <c r="D101" s="5">
        <f>10*3</f>
        <v>30</v>
      </c>
      <c r="E101" s="5"/>
      <c r="F101" s="5"/>
    </row>
    <row r="102" spans="1:6">
      <c r="A102" s="5"/>
      <c r="B102" s="5" t="s">
        <v>122</v>
      </c>
      <c r="C102" s="20" t="s">
        <v>99</v>
      </c>
      <c r="D102" s="5">
        <f>10/4</f>
        <v>2.5</v>
      </c>
      <c r="E102" s="5"/>
      <c r="F102" s="5"/>
    </row>
    <row r="103" spans="1:6">
      <c r="A103" s="5"/>
      <c r="B103" s="5" t="s">
        <v>123</v>
      </c>
      <c r="C103" s="20" t="s">
        <v>100</v>
      </c>
      <c r="D103" s="5">
        <f>10%</f>
        <v>0.1</v>
      </c>
      <c r="E103" s="5"/>
      <c r="F103" s="5"/>
    </row>
    <row r="104" spans="1:6">
      <c r="A104" s="5"/>
      <c r="B104" s="5" t="s">
        <v>124</v>
      </c>
      <c r="C104" s="20" t="s">
        <v>101</v>
      </c>
      <c r="D104" s="5">
        <f>10^3</f>
        <v>1000</v>
      </c>
      <c r="E104" s="5"/>
      <c r="F104" s="5"/>
    </row>
    <row r="105" spans="1:6">
      <c r="A105" s="5"/>
      <c r="B105" s="5"/>
      <c r="C105" s="5"/>
      <c r="D105" s="5"/>
      <c r="E105" s="5"/>
      <c r="F105" s="5"/>
    </row>
    <row r="106" spans="1:6">
      <c r="A106" s="6" t="s">
        <v>102</v>
      </c>
      <c r="B106" s="7"/>
      <c r="C106" s="7"/>
      <c r="D106" s="7"/>
      <c r="E106" s="7"/>
      <c r="F106" s="5"/>
    </row>
    <row r="107" spans="1:6">
      <c r="A107" s="8" t="s">
        <v>3</v>
      </c>
      <c r="B107" s="9" t="s">
        <v>103</v>
      </c>
      <c r="C107" s="5"/>
      <c r="D107" s="5"/>
      <c r="E107" s="5"/>
      <c r="F107" s="5"/>
    </row>
    <row r="108" spans="1:6">
      <c r="A108" s="8" t="s">
        <v>5</v>
      </c>
      <c r="B108" s="5" t="s">
        <v>104</v>
      </c>
      <c r="C108" s="20" t="s">
        <v>105</v>
      </c>
      <c r="D108" s="5">
        <f>2+3*4</f>
        <v>14</v>
      </c>
      <c r="E108" s="11" t="s">
        <v>106</v>
      </c>
      <c r="F108" s="5"/>
    </row>
    <row r="109" spans="1:6">
      <c r="A109" s="5"/>
      <c r="B109" s="5" t="s">
        <v>107</v>
      </c>
      <c r="C109" s="20" t="s">
        <v>108</v>
      </c>
      <c r="D109" s="5">
        <f>(2+3)*4</f>
        <v>20</v>
      </c>
      <c r="E109" s="11" t="s">
        <v>109</v>
      </c>
      <c r="F109" s="5"/>
    </row>
    <row r="110" spans="1:6">
      <c r="A110" s="5"/>
      <c r="B110" s="5"/>
      <c r="C110" s="5"/>
      <c r="D110" s="5"/>
      <c r="E110" s="5"/>
      <c r="F110" s="5"/>
    </row>
    <row r="111" spans="1:6">
      <c r="A111" s="6" t="s">
        <v>110</v>
      </c>
      <c r="B111" s="7"/>
      <c r="C111" s="7"/>
      <c r="D111" s="7"/>
      <c r="E111" s="7"/>
      <c r="F111" s="5"/>
    </row>
    <row r="112" spans="1:6">
      <c r="A112" s="8" t="s">
        <v>3</v>
      </c>
      <c r="B112" s="9" t="s">
        <v>111</v>
      </c>
      <c r="C112" s="5"/>
      <c r="D112" s="5"/>
      <c r="E112" s="5"/>
      <c r="F112" s="5"/>
    </row>
    <row r="113" spans="1:6">
      <c r="A113" s="8" t="s">
        <v>5</v>
      </c>
      <c r="B113" s="12" t="s">
        <v>112</v>
      </c>
      <c r="C113" s="12" t="s">
        <v>61</v>
      </c>
      <c r="D113" s="5"/>
      <c r="E113" s="5"/>
      <c r="F113" s="5"/>
    </row>
    <row r="114" spans="1:6">
      <c r="A114" s="5"/>
      <c r="B114" s="5"/>
      <c r="C114" s="10">
        <v>12</v>
      </c>
      <c r="D114" s="5"/>
      <c r="E114" s="5"/>
      <c r="F114" s="5"/>
    </row>
    <row r="115" spans="1:6">
      <c r="A115" s="5"/>
      <c r="B115" s="5"/>
      <c r="C115" s="10">
        <v>45</v>
      </c>
      <c r="D115" s="5"/>
      <c r="E115" s="5"/>
      <c r="F115" s="5"/>
    </row>
    <row r="116" spans="1:6">
      <c r="A116" s="5"/>
      <c r="B116" s="5"/>
      <c r="C116" s="10">
        <v>7</v>
      </c>
      <c r="D116" s="5"/>
      <c r="E116" s="5"/>
      <c r="F116" s="5"/>
    </row>
    <row r="117" spans="1:6">
      <c r="A117" s="5"/>
      <c r="B117" s="5"/>
      <c r="C117" s="10">
        <v>30</v>
      </c>
      <c r="D117" s="5"/>
      <c r="E117" s="5"/>
      <c r="F117" s="5"/>
    </row>
    <row r="118" spans="1:6">
      <c r="A118" s="5"/>
      <c r="B118" s="5"/>
      <c r="C118" s="10">
        <v>22</v>
      </c>
      <c r="D118" s="5"/>
      <c r="E118" s="5"/>
      <c r="F118" s="5"/>
    </row>
    <row r="119" spans="1:6">
      <c r="A119" s="5"/>
      <c r="B119" s="17" t="s">
        <v>113</v>
      </c>
      <c r="C119" s="5">
        <f>SUM(C114:C118)</f>
        <v>116</v>
      </c>
      <c r="D119" s="5"/>
      <c r="E119" s="5"/>
      <c r="F119" s="5"/>
    </row>
    <row r="120" spans="1:6">
      <c r="A120" s="5"/>
      <c r="B120" s="17" t="s">
        <v>114</v>
      </c>
      <c r="C120" s="5">
        <f>AVERAGE(C114:C118)</f>
        <v>23.2</v>
      </c>
      <c r="D120" s="5"/>
      <c r="E120" s="5"/>
      <c r="F120" s="5"/>
    </row>
    <row r="121" spans="1:6">
      <c r="A121" s="5"/>
      <c r="B121" s="17" t="s">
        <v>115</v>
      </c>
      <c r="C121" s="5">
        <f>MIN(C114:C118)</f>
        <v>7</v>
      </c>
      <c r="D121" s="5"/>
      <c r="E121" s="5"/>
      <c r="F121" s="5"/>
    </row>
    <row r="122" spans="1:6">
      <c r="A122" s="5"/>
      <c r="B122" s="17" t="s">
        <v>116</v>
      </c>
      <c r="C122" s="5">
        <f>MAX(C114:C118)</f>
        <v>45</v>
      </c>
      <c r="D122" s="5"/>
      <c r="E122" s="5"/>
      <c r="F122" s="5"/>
    </row>
    <row r="123" spans="1:6">
      <c r="A123" s="5"/>
      <c r="B123" s="17" t="s">
        <v>117</v>
      </c>
      <c r="C123" s="5">
        <f>COUNT(C114:C118)</f>
        <v>5</v>
      </c>
      <c r="D123" s="5"/>
      <c r="E123" s="5"/>
      <c r="F123" s="5"/>
    </row>
    <row r="124" spans="1:6">
      <c r="A124" s="5"/>
      <c r="B124" s="17" t="s">
        <v>118</v>
      </c>
      <c r="C124" s="5" t="str">
        <f>IF(C119&gt;100,"High","Low")</f>
        <v>High</v>
      </c>
      <c r="D124" s="5"/>
      <c r="E124" s="5"/>
      <c r="F12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 Tutorial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박진우/22100311</dc:creator>
  <cp:lastModifiedBy>박진우/22100311</cp:lastModifiedBy>
  <dcterms:created xsi:type="dcterms:W3CDTF">2026-08-09T20:09:42Z</dcterms:created>
  <dcterms:modified xsi:type="dcterms:W3CDTF">2026-08-09T20:21:43Z</dcterms:modified>
</cp:coreProperties>
</file>