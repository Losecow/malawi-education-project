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secow/Downloads/"/>
    </mc:Choice>
  </mc:AlternateContent>
  <xr:revisionPtr revIDLastSave="0" documentId="8_{8268723D-FF75-A149-8BF8-523C134DB952}" xr6:coauthVersionLast="47" xr6:coauthVersionMax="47" xr10:uidLastSave="{00000000-0000-0000-0000-000000000000}"/>
  <bookViews>
    <workbookView xWindow="0" yWindow="660" windowWidth="30240" windowHeight="18980" firstSheet="14" activeTab="20" xr2:uid="{C943FAEF-01BE-934B-A4E9-EEEBF638DE67}"/>
  </bookViews>
  <sheets>
    <sheet name="0. Read Me" sheetId="1" r:id="rId1"/>
    <sheet name="01 Sorting" sheetId="6" r:id="rId2"/>
    <sheet name="02 Filtering" sheetId="7" r:id="rId3"/>
    <sheet name="03 Creating a Table" sheetId="8" r:id="rId4"/>
    <sheet name="04 Table Design Tab" sheetId="9" r:id="rId5"/>
    <sheet name="05 Resizing a Table" sheetId="10" r:id="rId6"/>
    <sheet name="06 Removing Duplicates" sheetId="11" r:id="rId7"/>
    <sheet name="07 Convert to Range" sheetId="12" r:id="rId8"/>
    <sheet name="08 Table Styles" sheetId="13" r:id="rId9"/>
    <sheet name="09 CF Basics" sheetId="14" r:id="rId10"/>
    <sheet name="10 Highlight Cell Rules" sheetId="15" r:id="rId11"/>
    <sheet name="11 Greater Than" sheetId="16" r:id="rId12"/>
    <sheet name="12 Less Than" sheetId="17" r:id="rId13"/>
    <sheet name="13 Between" sheetId="18" r:id="rId14"/>
    <sheet name="14 Equal To" sheetId="19" r:id="rId15"/>
    <sheet name="15 Text That Contains" sheetId="20" r:id="rId16"/>
    <sheet name="16 A Date Occurring" sheetId="21" r:id="rId17"/>
    <sheet name="17 Duplicate &amp; Unique" sheetId="22" r:id="rId18"/>
    <sheet name="18 Top Bottom Rules" sheetId="23" r:id="rId19"/>
    <sheet name="19 Above Below Average" sheetId="24" r:id="rId20"/>
    <sheet name="20 Data Bars" sheetId="25" r:id="rId21"/>
    <sheet name="21 Color Scales" sheetId="26" r:id="rId22"/>
    <sheet name="22 Icon Sets" sheetId="27" r:id="rId23"/>
    <sheet name="23 Managing Rules" sheetId="28" r:id="rId24"/>
    <sheet name="24 Bar Chart" sheetId="29" r:id="rId25"/>
    <sheet name="25 Stacked Bar Chart" sheetId="30" r:id="rId26"/>
    <sheet name="26 Stacked Column Chart" sheetId="31" r:id="rId27"/>
    <sheet name="27 Pie Chart" sheetId="32" r:id="rId28"/>
    <sheet name="28 Line Chart" sheetId="33" r:id="rId29"/>
    <sheet name="29 Stacked Line Chart" sheetId="34" r:id="rId30"/>
    <sheet name="30 100 Pct Stacked Line" sheetId="35" r:id="rId31"/>
    <sheet name="31 Radar Chart" sheetId="36" r:id="rId32"/>
    <sheet name="32 Customising Charts" sheetId="37" r:id="rId33"/>
  </sheets>
  <definedNames>
    <definedName name="_xlnm._FilterDatabase" localSheetId="2" hidden="1">'02 Filtering'!$A$4:$H$16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8" i="11" l="1"/>
  <c r="E12" i="11"/>
  <c r="E15" i="11"/>
  <c r="B9" i="6"/>
  <c r="E5" i="27"/>
  <c r="E6" i="27"/>
  <c r="E7" i="27"/>
  <c r="E8" i="27"/>
  <c r="E9" i="27"/>
  <c r="E10" i="27"/>
  <c r="E11" i="27"/>
  <c r="E12" i="27"/>
  <c r="E13" i="27"/>
  <c r="E14" i="27"/>
  <c r="E15" i="27"/>
  <c r="E16" i="27"/>
  <c r="C5" i="21"/>
  <c r="C6" i="21"/>
  <c r="C7" i="21"/>
  <c r="C8" i="21"/>
  <c r="C9" i="21"/>
  <c r="C10" i="21"/>
  <c r="C11" i="21"/>
  <c r="C12" i="21"/>
  <c r="C13" i="21"/>
  <c r="C14" i="21"/>
  <c r="C15" i="21"/>
  <c r="C16" i="21"/>
  <c r="E5" i="16"/>
  <c r="E6" i="16"/>
  <c r="E7" i="16"/>
  <c r="E8" i="16"/>
  <c r="E9" i="16"/>
  <c r="E10" i="16"/>
  <c r="E11" i="16"/>
  <c r="E12" i="16"/>
  <c r="E13" i="16"/>
  <c r="E14" i="16"/>
  <c r="E15" i="16"/>
  <c r="E16" i="16"/>
  <c r="E5" i="14"/>
  <c r="E6" i="14"/>
  <c r="E7" i="14"/>
  <c r="E8" i="14"/>
  <c r="E9" i="14"/>
  <c r="E10" i="14"/>
  <c r="E11" i="14"/>
  <c r="E12" i="14"/>
  <c r="E13" i="14"/>
  <c r="E14" i="14"/>
  <c r="E15" i="14"/>
  <c r="E16" i="14"/>
  <c r="E5" i="11"/>
  <c r="E6" i="11"/>
  <c r="E7" i="11"/>
  <c r="E9" i="11"/>
  <c r="E10" i="11"/>
  <c r="E11" i="11"/>
  <c r="E13" i="11"/>
  <c r="E14" i="11"/>
  <c r="E16" i="11"/>
  <c r="C14" i="10"/>
  <c r="C15" i="10"/>
  <c r="C16" i="10"/>
  <c r="C5" i="10"/>
  <c r="C6" i="10"/>
  <c r="C7" i="10"/>
  <c r="C8" i="10"/>
  <c r="C9" i="10"/>
  <c r="C10" i="10"/>
  <c r="C11" i="10"/>
  <c r="C12" i="10"/>
  <c r="E5" i="9"/>
  <c r="F5" i="9"/>
  <c r="E6" i="9"/>
  <c r="F6" i="9" s="1"/>
  <c r="E7" i="9"/>
  <c r="F7" i="9" s="1"/>
  <c r="E8" i="9"/>
  <c r="F8" i="9" s="1"/>
  <c r="E9" i="9"/>
  <c r="F9" i="9" s="1"/>
  <c r="E10" i="9"/>
  <c r="F10" i="9" s="1"/>
  <c r="E11" i="9"/>
  <c r="F11" i="9" s="1"/>
  <c r="E12" i="9"/>
  <c r="F12" i="9" s="1"/>
  <c r="E13" i="9"/>
  <c r="F13" i="9" s="1"/>
  <c r="E14" i="9"/>
  <c r="F14" i="9" s="1"/>
  <c r="E5" i="8"/>
  <c r="E6" i="8"/>
  <c r="E7" i="8"/>
  <c r="E8" i="8"/>
  <c r="E9" i="8"/>
  <c r="E10" i="8"/>
  <c r="E11" i="8"/>
  <c r="E12" i="8"/>
  <c r="E13" i="8"/>
  <c r="E14" i="8"/>
  <c r="B5" i="7"/>
  <c r="H5" i="7"/>
  <c r="B6" i="7"/>
  <c r="H6" i="7"/>
  <c r="B7" i="7"/>
  <c r="H7" i="7"/>
  <c r="B8" i="7"/>
  <c r="H8" i="7"/>
  <c r="B9" i="7"/>
  <c r="H9" i="7"/>
  <c r="B10" i="7"/>
  <c r="H10" i="7"/>
  <c r="B11" i="7"/>
  <c r="H11" i="7"/>
  <c r="B12" i="7"/>
  <c r="H12" i="7"/>
  <c r="B13" i="7"/>
  <c r="H13" i="7"/>
  <c r="B14" i="7"/>
  <c r="H14" i="7"/>
  <c r="B15" i="7"/>
  <c r="H15" i="7"/>
  <c r="B16" i="7"/>
  <c r="H16" i="7"/>
  <c r="B10" i="6"/>
  <c r="G10" i="6"/>
  <c r="B6" i="6"/>
  <c r="G6" i="6"/>
  <c r="B13" i="6"/>
  <c r="G13" i="6"/>
  <c r="B5" i="6"/>
  <c r="G5" i="6"/>
  <c r="B12" i="6"/>
  <c r="G12" i="6"/>
  <c r="B8" i="6"/>
  <c r="G8" i="6"/>
  <c r="B14" i="6"/>
  <c r="G14" i="6"/>
  <c r="G9" i="6"/>
  <c r="B11" i="6"/>
  <c r="G11" i="6"/>
  <c r="B7" i="6"/>
  <c r="G7" i="6"/>
</calcChain>
</file>

<file path=xl/sharedStrings.xml><?xml version="1.0" encoding="utf-8"?>
<sst xmlns="http://schemas.openxmlformats.org/spreadsheetml/2006/main" count="1130" uniqueCount="642">
  <si>
    <t>Order ID</t>
  </si>
  <si>
    <t>Order Date</t>
  </si>
  <si>
    <t>Region</t>
  </si>
  <si>
    <t>Salesperson</t>
  </si>
  <si>
    <t>Product</t>
  </si>
  <si>
    <t>Category</t>
  </si>
  <si>
    <t>Units</t>
  </si>
  <si>
    <t>Unit Price</t>
  </si>
  <si>
    <t>Revenue</t>
  </si>
  <si>
    <t>North</t>
  </si>
  <si>
    <t>Anna Fischer</t>
  </si>
  <si>
    <t>Laser Printer</t>
  </si>
  <si>
    <t>Hardware</t>
  </si>
  <si>
    <t>South</t>
  </si>
  <si>
    <t>Marco Rossi</t>
  </si>
  <si>
    <t>Office Chair</t>
  </si>
  <si>
    <t>Furniture</t>
  </si>
  <si>
    <t>East</t>
  </si>
  <si>
    <t>Sofia Lang</t>
  </si>
  <si>
    <t>Wireless Mouse</t>
  </si>
  <si>
    <t>Accessories</t>
  </si>
  <si>
    <t>West</t>
  </si>
  <si>
    <t>Daniel Weber</t>
  </si>
  <si>
    <t>Standing Desk</t>
  </si>
  <si>
    <t>ORD-1005</t>
  </si>
  <si>
    <t>USB-C Hub</t>
  </si>
  <si>
    <t>Elena Duarte</t>
  </si>
  <si>
    <t>Monitor 27"</t>
  </si>
  <si>
    <t>Desk Lamp</t>
  </si>
  <si>
    <t>ORD-1012</t>
  </si>
  <si>
    <t>Keyboard</t>
  </si>
  <si>
    <t>ORD-1020</t>
  </si>
  <si>
    <t>Employee ID</t>
  </si>
  <si>
    <t>Name</t>
  </si>
  <si>
    <t>Department</t>
  </si>
  <si>
    <t>City</t>
  </si>
  <si>
    <t>Start Date</t>
  </si>
  <si>
    <t>Salary</t>
  </si>
  <si>
    <t>E-101</t>
  </si>
  <si>
    <t>Laura Bennett</t>
  </si>
  <si>
    <t>Sales</t>
  </si>
  <si>
    <t>Berlin</t>
  </si>
  <si>
    <t>E-102</t>
  </si>
  <si>
    <t>Tom Nguyen</t>
  </si>
  <si>
    <t>Marketing</t>
  </si>
  <si>
    <t>Munich</t>
  </si>
  <si>
    <t>E-103</t>
  </si>
  <si>
    <t>Priya Shah</t>
  </si>
  <si>
    <t>Finance</t>
  </si>
  <si>
    <t>Hamburg</t>
  </si>
  <si>
    <t>E-104</t>
  </si>
  <si>
    <t>Jonas Meyer</t>
  </si>
  <si>
    <t>E-105</t>
  </si>
  <si>
    <t>Clara Dupont</t>
  </si>
  <si>
    <t>IT</t>
  </si>
  <si>
    <t>Cologne</t>
  </si>
  <si>
    <t>E-106</t>
  </si>
  <si>
    <t>Ahmed Karim</t>
  </si>
  <si>
    <t>E-107</t>
  </si>
  <si>
    <t>Nora Vidal</t>
  </si>
  <si>
    <t>E-108</t>
  </si>
  <si>
    <t>Felix Braun</t>
  </si>
  <si>
    <t>Logistics</t>
  </si>
  <si>
    <t>E-109</t>
  </si>
  <si>
    <t>Mia Rossi</t>
  </si>
  <si>
    <t>E-110</t>
  </si>
  <si>
    <t>Oliver Grant</t>
  </si>
  <si>
    <t>Sara Lindqvist</t>
  </si>
  <si>
    <t>David Okafor</t>
  </si>
  <si>
    <t>Product Code</t>
  </si>
  <si>
    <t>Product Name</t>
  </si>
  <si>
    <t>Type</t>
  </si>
  <si>
    <t>Units Sold</t>
  </si>
  <si>
    <t>Quality Score</t>
  </si>
  <si>
    <t>Stock Level</t>
  </si>
  <si>
    <t>P-001</t>
  </si>
  <si>
    <t>Alpha Pro Keyboard</t>
  </si>
  <si>
    <t>P-002</t>
  </si>
  <si>
    <t>Beta Wireless Mouse</t>
  </si>
  <si>
    <t>P-003</t>
  </si>
  <si>
    <t>Gamma Monitor 27"</t>
  </si>
  <si>
    <t>P-004</t>
  </si>
  <si>
    <t>P-005</t>
  </si>
  <si>
    <t>Epsilon Office Chair</t>
  </si>
  <si>
    <t>P-006</t>
  </si>
  <si>
    <t>Zeta Standing Desk</t>
  </si>
  <si>
    <t>P-007</t>
  </si>
  <si>
    <t>Eta Pro Docking Station</t>
  </si>
  <si>
    <t>P-008</t>
  </si>
  <si>
    <t>Theta Desk Lamp</t>
  </si>
  <si>
    <t>P-009</t>
  </si>
  <si>
    <t>P-010</t>
  </si>
  <si>
    <t>Kappa Headset Pro</t>
  </si>
  <si>
    <t>P-011</t>
  </si>
  <si>
    <t>Lambda Cable Kit</t>
  </si>
  <si>
    <t>P-012</t>
  </si>
  <si>
    <t>Mu Whiteboard</t>
  </si>
  <si>
    <t>Customer Support</t>
  </si>
  <si>
    <t>Field Operations</t>
  </si>
  <si>
    <t>Marketing &amp; Communications</t>
  </si>
  <si>
    <t>Product Engineering</t>
  </si>
  <si>
    <t>Regional Sales - North</t>
  </si>
  <si>
    <t>Regional Sales - South</t>
  </si>
  <si>
    <t>Research &amp; Development</t>
  </si>
  <si>
    <t>Quarter</t>
  </si>
  <si>
    <t>Q1 2025</t>
  </si>
  <si>
    <t>Q2 2025</t>
  </si>
  <si>
    <t>Q3 2025</t>
  </si>
  <si>
    <t>Q4 2025</t>
  </si>
  <si>
    <t>Channel</t>
  </si>
  <si>
    <t>Online Store</t>
  </si>
  <si>
    <t>Retail Partners</t>
  </si>
  <si>
    <t>Direct Sales</t>
  </si>
  <si>
    <t>Marketplace</t>
  </si>
  <si>
    <t>Resellers</t>
  </si>
  <si>
    <t>Other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</si>
  <si>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</si>
  <si>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</si>
  <si>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</si>
  <si>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</si>
  <si>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</si>
  <si>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</si>
  <si>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</si>
  <si>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</si>
  <si>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</si>
  <si>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</si>
  <si>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</si>
  <si>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</si>
  <si>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</si>
  <si>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Criterion</t>
  </si>
  <si>
    <t>Model A</t>
  </si>
  <si>
    <t>Model B</t>
  </si>
  <si>
    <t>Performance</t>
  </si>
  <si>
    <t>Design</t>
  </si>
  <si>
    <t>Battery Life</t>
  </si>
  <si>
    <t>Price Value</t>
  </si>
  <si>
    <t>Support</t>
  </si>
  <si>
    <t>Reliability</t>
  </si>
  <si>
    <t>Excel Essentials - Day 2: screenshot source data</t>
  </si>
  <si>
    <t>Sorting Data</t>
  </si>
  <si>
    <t>Filtering Data</t>
  </si>
  <si>
    <t>Creating a Table (Ctrl + T)</t>
  </si>
  <si>
    <t>Resizing a Table</t>
  </si>
  <si>
    <t>Removing Duplicates</t>
  </si>
  <si>
    <t>Table Styles</t>
  </si>
  <si>
    <t>Customising Charts</t>
  </si>
  <si>
    <t>Click any cell in a column, then Data &gt; Sort A to Z / Z to A. For a multi-level sort use Data &gt; Sort &gt; Add Level (e.g. Region, then Revenue).</t>
  </si>
  <si>
    <t>ORD-1043</t>
  </si>
  <si>
    <t>ORD-1078</t>
  </si>
  <si>
    <t>ORD-1061</t>
  </si>
  <si>
    <t>ORD-1029</t>
  </si>
  <si>
    <t>ORD-1090</t>
  </si>
  <si>
    <t>ORD-1036</t>
  </si>
  <si>
    <t>ORD-1054</t>
  </si>
  <si>
    <t>Data &gt; Filter adds a dropdown arrow to every header. Untick values in Region, or use Number Filters &gt; Greater Than on Cost. A funnel icon marks the filtered column.</t>
  </si>
  <si>
    <t>Ticket ID</t>
  </si>
  <si>
    <t>Logged</t>
  </si>
  <si>
    <t>Priority</t>
  </si>
  <si>
    <t>Agent</t>
  </si>
  <si>
    <t>Hours</t>
  </si>
  <si>
    <t>Cost</t>
  </si>
  <si>
    <t>T-2001</t>
  </si>
  <si>
    <t>High</t>
  </si>
  <si>
    <t>T-2002</t>
  </si>
  <si>
    <t>Software</t>
  </si>
  <si>
    <t>Low</t>
  </si>
  <si>
    <t>T-2003</t>
  </si>
  <si>
    <t>Network</t>
  </si>
  <si>
    <t>T-2004</t>
  </si>
  <si>
    <t>Medium</t>
  </si>
  <si>
    <t>T-2005</t>
  </si>
  <si>
    <t>T-2006</t>
  </si>
  <si>
    <t>T-2007</t>
  </si>
  <si>
    <t>T-2008</t>
  </si>
  <si>
    <t>T-2009</t>
  </si>
  <si>
    <t>T-2010</t>
  </si>
  <si>
    <t>T-2011</t>
  </si>
  <si>
    <t>T-2012</t>
  </si>
  <si>
    <t>Select A4:F14, then Insert &gt; Table or press Ctrl + T. Tick 'My table has headers' so row 4 becomes the header row.</t>
  </si>
  <si>
    <t>Table Design Tab</t>
  </si>
  <si>
    <t>Press Ctrl + T on A4:F14, click inside the table, then open Table Design. Rename it to tblSales and toggle Header Row / Total Row / Banded Rows / Filter Button.</t>
  </si>
  <si>
    <t>Q1 Units</t>
  </si>
  <si>
    <t>Q2 Units</t>
  </si>
  <si>
    <t>Total Units</t>
  </si>
  <si>
    <t>Webcam HD</t>
  </si>
  <si>
    <t>Filing Cabinet</t>
  </si>
  <si>
    <t>Make A4:E12 a table (Ctrl + T). Then drag the handle at the bottom-right corner down over the extra rows, or use Table Design &gt; Resize Table and type A4:E16.</t>
  </si>
  <si>
    <t>Store</t>
  </si>
  <si>
    <t>Opened</t>
  </si>
  <si>
    <t>Staff</t>
  </si>
  <si>
    <t>Monthly Sales</t>
  </si>
  <si>
    <t>ST-01</t>
  </si>
  <si>
    <t>Berlin Mitte</t>
  </si>
  <si>
    <t>ST-02</t>
  </si>
  <si>
    <t>Munich Central</t>
  </si>
  <si>
    <t>ST-03</t>
  </si>
  <si>
    <t>Hamburg Port</t>
  </si>
  <si>
    <t>ST-04</t>
  </si>
  <si>
    <t>Cologne Ring</t>
  </si>
  <si>
    <t>ST-05</t>
  </si>
  <si>
    <t>Frankfurt West</t>
  </si>
  <si>
    <t>ST-06</t>
  </si>
  <si>
    <t>Stuttgart Nord</t>
  </si>
  <si>
    <t>ST-07</t>
  </si>
  <si>
    <t>Leipzig Sud</t>
  </si>
  <si>
    <t>ST-08</t>
  </si>
  <si>
    <t>Dresden Altstadt</t>
  </si>
  <si>
    <t>Extra rows - drag the resize handle down to absorb them</t>
  </si>
  <si>
    <t>ST-09</t>
  </si>
  <si>
    <t>Bremen Hafen</t>
  </si>
  <si>
    <t>ST-10</t>
  </si>
  <si>
    <t>Hannover Ost</t>
  </si>
  <si>
    <t>ST-11</t>
  </si>
  <si>
    <t>Nurnberg Sud</t>
  </si>
  <si>
    <t>Rows 8, 12 and 15 are exact copies of earlier rows. Use Table Design &gt; Remove Duplicates (or Data &gt; Remove Duplicates) and tick the columns to compare.</t>
  </si>
  <si>
    <t>Member ID</t>
  </si>
  <si>
    <t>Full Name</t>
  </si>
  <si>
    <t>E-mail</t>
  </si>
  <si>
    <t>Plan</t>
  </si>
  <si>
    <t>Joined</t>
  </si>
  <si>
    <t>M-5001</t>
  </si>
  <si>
    <t>laura.bennett@example.com</t>
  </si>
  <si>
    <t>Premium</t>
  </si>
  <si>
    <t>M-5002</t>
  </si>
  <si>
    <t>tom.nguyen@example.com</t>
  </si>
  <si>
    <t>Basic</t>
  </si>
  <si>
    <t>M-5003</t>
  </si>
  <si>
    <t>priya.shah@example.com</t>
  </si>
  <si>
    <t>M-5004</t>
  </si>
  <si>
    <t>jonas.meyer@example.com</t>
  </si>
  <si>
    <t>Standard</t>
  </si>
  <si>
    <t>M-5005</t>
  </si>
  <si>
    <t>clara.dupont@example.com</t>
  </si>
  <si>
    <t>M-5006</t>
  </si>
  <si>
    <t>ahmed.karim@example.com</t>
  </si>
  <si>
    <t>M-5007</t>
  </si>
  <si>
    <t>nora.vidal@example.com</t>
  </si>
  <si>
    <t>M-5008</t>
  </si>
  <si>
    <t>felix.braun@example.com</t>
  </si>
  <si>
    <t>M-5009</t>
  </si>
  <si>
    <t>mia.rossi@example.com</t>
  </si>
  <si>
    <t>Converting a Table to a Range</t>
  </si>
  <si>
    <t>Make A4:E12 a table and apply a style first. Then Table Design &gt; Convert to Range and answer Yes - the colours stay, the filter buttons and table name are lost.</t>
  </si>
  <si>
    <t>Course Code</t>
  </si>
  <si>
    <t>Course Title</t>
  </si>
  <si>
    <t>Trainer</t>
  </si>
  <si>
    <t>Seats</t>
  </si>
  <si>
    <t>Fee</t>
  </si>
  <si>
    <t>C-201</t>
  </si>
  <si>
    <t>Excel Foundations</t>
  </si>
  <si>
    <t>C-202</t>
  </si>
  <si>
    <t>Excel Formulas Deep Dive</t>
  </si>
  <si>
    <t>C-203</t>
  </si>
  <si>
    <t>Data Visualisation</t>
  </si>
  <si>
    <t>C-204</t>
  </si>
  <si>
    <t>PivotTables in Practice</t>
  </si>
  <si>
    <t>C-205</t>
  </si>
  <si>
    <t>Power Query Basics</t>
  </si>
  <si>
    <t>C-206</t>
  </si>
  <si>
    <t>Dashboard Design</t>
  </si>
  <si>
    <t>C-207</t>
  </si>
  <si>
    <t>Business Statistics</t>
  </si>
  <si>
    <t>C-208</t>
  </si>
  <si>
    <t>Reporting Automation</t>
  </si>
  <si>
    <t>Make A4:F14 a table, then open Table Design &gt; Table Styles and expand the gallery to show the Light / Medium / Dark groups. Hover to preview, and toggle Banded Rows / Banded Columns.</t>
  </si>
  <si>
    <t>Country</t>
  </si>
  <si>
    <t>Q1</t>
  </si>
  <si>
    <t>Q2</t>
  </si>
  <si>
    <t>Q3</t>
  </si>
  <si>
    <t>Q4</t>
  </si>
  <si>
    <t>Germany</t>
  </si>
  <si>
    <t>Denmark</t>
  </si>
  <si>
    <t>Sweden</t>
  </si>
  <si>
    <t>Italy</t>
  </si>
  <si>
    <t>Spain</t>
  </si>
  <si>
    <t>Portugal</t>
  </si>
  <si>
    <t>Poland</t>
  </si>
  <si>
    <t>Czechia</t>
  </si>
  <si>
    <t>France</t>
  </si>
  <si>
    <t>Netherlands</t>
  </si>
  <si>
    <t>Conditional Formatting Basics</t>
  </si>
  <si>
    <t>Select D5:D16, then Home &gt; Conditional Formatting and expand the menu so all six groups are visible: Highlight Cell Rules, Top/Bottom Rules, Data Bars, Color Scales, Icon Sets, New Rule.</t>
  </si>
  <si>
    <t>Target</t>
  </si>
  <si>
    <t>Actual Sales</t>
  </si>
  <si>
    <t>Achievement</t>
  </si>
  <si>
    <t>ST-12</t>
  </si>
  <si>
    <t>Essen Zentrum</t>
  </si>
  <si>
    <t>Highlight Cell Rules</t>
  </si>
  <si>
    <t>Select the Score column, then Conditional Formatting &gt; Highlight Cell Rules and open the submenu so all seven rule types are listed.</t>
  </si>
  <si>
    <t>Student ID</t>
  </si>
  <si>
    <t>Student Name</t>
  </si>
  <si>
    <t>Class</t>
  </si>
  <si>
    <t>Score</t>
  </si>
  <si>
    <t>Attendance</t>
  </si>
  <si>
    <t>S-01</t>
  </si>
  <si>
    <t>Group A</t>
  </si>
  <si>
    <t>S-02</t>
  </si>
  <si>
    <t>Group B</t>
  </si>
  <si>
    <t>S-03</t>
  </si>
  <si>
    <t>S-04</t>
  </si>
  <si>
    <t>Group C</t>
  </si>
  <si>
    <t>S-05</t>
  </si>
  <si>
    <t>S-06</t>
  </si>
  <si>
    <t>S-07</t>
  </si>
  <si>
    <t>S-08</t>
  </si>
  <si>
    <t>S-09</t>
  </si>
  <si>
    <t>S-10</t>
  </si>
  <si>
    <t>Rule: Greater Than</t>
  </si>
  <si>
    <t>Select E5:E16, then Conditional Formatting &gt; Highlight Cell Rules &gt; Greater Than. Type 20000 and pick 'Light Red Fill with Dark Red Text'. Note that 20000 itself is NOT highlighted.</t>
  </si>
  <si>
    <t>Alpha Keyboard</t>
  </si>
  <si>
    <t>Beta Mouse</t>
  </si>
  <si>
    <t>Gamma Monitor</t>
  </si>
  <si>
    <t>Delta Printer</t>
  </si>
  <si>
    <t>Epsilon Chair</t>
  </si>
  <si>
    <t>Zeta Desk</t>
  </si>
  <si>
    <t>Eta Dock</t>
  </si>
  <si>
    <t>Theta Lamp</t>
  </si>
  <si>
    <t>Iota Webcam</t>
  </si>
  <si>
    <t>Kappa Headset</t>
  </si>
  <si>
    <t>Lambda Cables</t>
  </si>
  <si>
    <t>Rule: Less Than</t>
  </si>
  <si>
    <t>Select D5:D16, then Conditional Formatting &gt; Highlight Cell Rules &gt; Less Than. Type 20 to flag low stock. Items equal to 20 stay unhighlighted.</t>
  </si>
  <si>
    <t>SKU</t>
  </si>
  <si>
    <t>Item</t>
  </si>
  <si>
    <t>Reorder Point</t>
  </si>
  <si>
    <t>Stock on Hand</t>
  </si>
  <si>
    <t>Warehouse</t>
  </si>
  <si>
    <t>SKU-100</t>
  </si>
  <si>
    <t>SKU-101</t>
  </si>
  <si>
    <t>SKU-102</t>
  </si>
  <si>
    <t>SKU-103</t>
  </si>
  <si>
    <t>SKU-104</t>
  </si>
  <si>
    <t>SKU-105</t>
  </si>
  <si>
    <t>SKU-106</t>
  </si>
  <si>
    <t>SKU-107</t>
  </si>
  <si>
    <t>SKU-108</t>
  </si>
  <si>
    <t>SKU-109</t>
  </si>
  <si>
    <t>Headset</t>
  </si>
  <si>
    <t>SKU-110</t>
  </si>
  <si>
    <t>Cable Kit</t>
  </si>
  <si>
    <t>SKU-111</t>
  </si>
  <si>
    <t>Scanner</t>
  </si>
  <si>
    <t>Rule: Between</t>
  </si>
  <si>
    <t>Select C5:C16, then Conditional Formatting &gt; Highlight Cell Rules &gt; Between. Enter 60 and 80 - both limits are inclusive, so 60 and 80 are highlighted too.</t>
  </si>
  <si>
    <t>Candidate</t>
  </si>
  <si>
    <t>Role</t>
  </si>
  <si>
    <t>Test Score</t>
  </si>
  <si>
    <t>Interview Score</t>
  </si>
  <si>
    <t>Years Experience</t>
  </si>
  <si>
    <t>Analyst</t>
  </si>
  <si>
    <t>Developer</t>
  </si>
  <si>
    <t>Designer</t>
  </si>
  <si>
    <t>Rule: Equal To</t>
  </si>
  <si>
    <t>Select C5:C16 and use Conditional Formatting &gt; Highlight Cell Rules &gt; Equal To with the value Hardware (text matching is not case sensitive). Or select E5:E16 and enter 85.</t>
  </si>
  <si>
    <t>Status</t>
  </si>
  <si>
    <t>Active</t>
  </si>
  <si>
    <t>Discontinued</t>
  </si>
  <si>
    <t>Mu Speaker</t>
  </si>
  <si>
    <t>Rule: Text That Contains</t>
  </si>
  <si>
    <t>Select B5:B16 and use Conditional Formatting &gt; Highlight Cell Rules &gt; Text that Contains with the keyword pro. It matches Pro, PRO and professional anywhere in the cell.</t>
  </si>
  <si>
    <t>Item Code</t>
  </si>
  <si>
    <t>List Price</t>
  </si>
  <si>
    <t>IT-01</t>
  </si>
  <si>
    <t>IT-02</t>
  </si>
  <si>
    <t>IT-03</t>
  </si>
  <si>
    <t>IT-04</t>
  </si>
  <si>
    <t>Delta ProJet Printer</t>
  </si>
  <si>
    <t>IT-05</t>
  </si>
  <si>
    <t>IT-06</t>
  </si>
  <si>
    <t>IT-07</t>
  </si>
  <si>
    <t>IT-08</t>
  </si>
  <si>
    <t>IT-09</t>
  </si>
  <si>
    <t>Iota Webcam Professional</t>
  </si>
  <si>
    <t>IT-10</t>
  </si>
  <si>
    <t>IT-11</t>
  </si>
  <si>
    <t>IT-12</t>
  </si>
  <si>
    <t>Mu Projector Stand</t>
  </si>
  <si>
    <t>Rule: A Date Occurring</t>
  </si>
  <si>
    <t>The dates recalculate from TODAY(), so the demo always works. Select C5:C16 and use Conditional Formatting &gt; Highlight Cell Rules &gt; A Date Occurring, then open the period dropdown.</t>
  </si>
  <si>
    <t>Task ID</t>
  </si>
  <si>
    <t>Task</t>
  </si>
  <si>
    <t>Due Date</t>
  </si>
  <si>
    <t>Owner</t>
  </si>
  <si>
    <t>TSK-01</t>
  </si>
  <si>
    <t>Send weekly report</t>
  </si>
  <si>
    <t>Done</t>
  </si>
  <si>
    <t>TSK-02</t>
  </si>
  <si>
    <t>Review budget draft</t>
  </si>
  <si>
    <t>In progress</t>
  </si>
  <si>
    <t>TSK-03</t>
  </si>
  <si>
    <t>Client call - Nordwind</t>
  </si>
  <si>
    <t>Open</t>
  </si>
  <si>
    <t>TSK-04</t>
  </si>
  <si>
    <t>Update price list</t>
  </si>
  <si>
    <t>TSK-05</t>
  </si>
  <si>
    <t>Prepare training room</t>
  </si>
  <si>
    <t>TSK-06</t>
  </si>
  <si>
    <t>Quarterly stock count</t>
  </si>
  <si>
    <t>TSK-07</t>
  </si>
  <si>
    <t>Supplier negotiation</t>
  </si>
  <si>
    <t>TSK-08</t>
  </si>
  <si>
    <t>Publish newsletter</t>
  </si>
  <si>
    <t>TSK-09</t>
  </si>
  <si>
    <t>Onboarding session</t>
  </si>
  <si>
    <t>TSK-10</t>
  </si>
  <si>
    <t>Archive old invoices</t>
  </si>
  <si>
    <t>TSK-11</t>
  </si>
  <si>
    <t>Renew software licences</t>
  </si>
  <si>
    <t>TSK-12</t>
  </si>
  <si>
    <t>Team performance reviews</t>
  </si>
  <si>
    <t>Duplicate and Unique Values</t>
  </si>
  <si>
    <t>Select A5:A16 and use Conditional Formatting &gt; Highlight Cell Rules &gt; Duplicate Values. Switch the dropdown to Unique to invert the rule. Codes C-102, C-105 and C-108 repeat.</t>
  </si>
  <si>
    <t>Customer Code</t>
  </si>
  <si>
    <t>Company</t>
  </si>
  <si>
    <t>Contact E-mail</t>
  </si>
  <si>
    <t>C-101</t>
  </si>
  <si>
    <t>Nordwind GmbH</t>
  </si>
  <si>
    <t>info@nordwind.example</t>
  </si>
  <si>
    <t>C-102</t>
  </si>
  <si>
    <t>Bluewave Ltd</t>
  </si>
  <si>
    <t>hello@bluewave.example</t>
  </si>
  <si>
    <t>Ireland</t>
  </si>
  <si>
    <t>C-103</t>
  </si>
  <si>
    <t>Alpine Systems</t>
  </si>
  <si>
    <t>contact@alpine.example</t>
  </si>
  <si>
    <t>Austria</t>
  </si>
  <si>
    <t>C-104</t>
  </si>
  <si>
    <t>Riverstone AB</t>
  </si>
  <si>
    <t>sales@riverstone.example</t>
  </si>
  <si>
    <t>C-105</t>
  </si>
  <si>
    <t>Lumen Design</t>
  </si>
  <si>
    <t>studio@lumen.example</t>
  </si>
  <si>
    <t>C-106</t>
  </si>
  <si>
    <t>Portside Trading</t>
  </si>
  <si>
    <t>office@portside.example</t>
  </si>
  <si>
    <t>C-107</t>
  </si>
  <si>
    <t>Vertex Analytics</t>
  </si>
  <si>
    <t>team@vertex.example</t>
  </si>
  <si>
    <t>C-108</t>
  </si>
  <si>
    <t>Meridian Foods</t>
  </si>
  <si>
    <t>orders@meridian.example</t>
  </si>
  <si>
    <t>C-109</t>
  </si>
  <si>
    <t>Solaris Energy</t>
  </si>
  <si>
    <t>info@solaris.example</t>
  </si>
  <si>
    <t>Top / Bottom Rules</t>
  </si>
  <si>
    <t>Select D5:D19 and open Conditional Formatting &gt; Top/Bottom Rules. Show Top 10 Items, then change the spinner to 5. Bottom 10 % works on the same column.</t>
  </si>
  <si>
    <t>Rep ID</t>
  </si>
  <si>
    <t>Deals Closed</t>
  </si>
  <si>
    <t>R-01</t>
  </si>
  <si>
    <t>R-02</t>
  </si>
  <si>
    <t>R-03</t>
  </si>
  <si>
    <t>R-04</t>
  </si>
  <si>
    <t>R-05</t>
  </si>
  <si>
    <t>R-06</t>
  </si>
  <si>
    <t>R-07</t>
  </si>
  <si>
    <t>R-08</t>
  </si>
  <si>
    <t>R-09</t>
  </si>
  <si>
    <t>R-10</t>
  </si>
  <si>
    <t>R-11</t>
  </si>
  <si>
    <t>R-12</t>
  </si>
  <si>
    <t>R-13</t>
  </si>
  <si>
    <t>R-14</t>
  </si>
  <si>
    <t>R-15</t>
  </si>
  <si>
    <t>Above / Below Average</t>
  </si>
  <si>
    <t>Select D5:D19 and use Conditional Formatting &gt; Top/Bottom Rules &gt; Above Average, then repeat with Below Average in a second colour. Excel works out the average itself - see the check cell below.</t>
  </si>
  <si>
    <t>Employee</t>
  </si>
  <si>
    <t>Team</t>
  </si>
  <si>
    <t>Performance Score</t>
  </si>
  <si>
    <t>Projects</t>
  </si>
  <si>
    <t>E-01</t>
  </si>
  <si>
    <t>Alpha</t>
  </si>
  <si>
    <t>E-02</t>
  </si>
  <si>
    <t>Beta</t>
  </si>
  <si>
    <t>E-03</t>
  </si>
  <si>
    <t>E-04</t>
  </si>
  <si>
    <t>Gamma</t>
  </si>
  <si>
    <t>E-05</t>
  </si>
  <si>
    <t>E-06</t>
  </si>
  <si>
    <t>E-07</t>
  </si>
  <si>
    <t>E-08</t>
  </si>
  <si>
    <t>E-09</t>
  </si>
  <si>
    <t>E-10</t>
  </si>
  <si>
    <t>E-11</t>
  </si>
  <si>
    <t>E-12</t>
  </si>
  <si>
    <t>E-13</t>
  </si>
  <si>
    <t>E-14</t>
  </si>
  <si>
    <t>E-15</t>
  </si>
  <si>
    <t>Data Bars</t>
  </si>
  <si>
    <t>Select C5:C16 and open Conditional Formatting &gt; Data Bars to show the Gradient Fill and Solid Fill galleries. Column D contains negative values so the bars point the other way.</t>
  </si>
  <si>
    <t>Website Visits</t>
  </si>
  <si>
    <t>Change vs Last Month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</si>
  <si>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</si>
  <si>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</si>
  <si>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</si>
  <si>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</si>
  <si>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</si>
  <si>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</si>
  <si>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</si>
  <si>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</si>
  <si>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</si>
  <si>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</si>
  <si>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</si>
  <si>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Color Scales</t>
  </si>
  <si>
    <t>Select B5:E16 and use Conditional Formatting &gt; Color Scales. A three-colour red-yellow-green scale turns the whole block into a heat map.</t>
  </si>
  <si>
    <t>North America</t>
  </si>
  <si>
    <t>Latin America</t>
  </si>
  <si>
    <t>United Kingdom</t>
  </si>
  <si>
    <t>Nordics</t>
  </si>
  <si>
    <t>Southern Europe</t>
  </si>
  <si>
    <t>Eastern Europe</t>
  </si>
  <si>
    <t>Middle East</t>
  </si>
  <si>
    <t>Africa</t>
  </si>
  <si>
    <t>South Asia</t>
  </si>
  <si>
    <t>East Asia</t>
  </si>
  <si>
    <t>Icon Sets</t>
  </si>
  <si>
    <t>Select E5:E16 (Goal Achievement) and open Conditional Formatting &gt; Icon Sets to show the Directional / Shapes / Indicators / Ratings groups. Stock Level in D works well with a 3-traffic-light set.</t>
  </si>
  <si>
    <t>KPI Code</t>
  </si>
  <si>
    <t>Metric</t>
  </si>
  <si>
    <t>Goal Achievement</t>
  </si>
  <si>
    <t>K-01</t>
  </si>
  <si>
    <t>Printer sales</t>
  </si>
  <si>
    <t>K-02</t>
  </si>
  <si>
    <t>Chair sales</t>
  </si>
  <si>
    <t>K-03</t>
  </si>
  <si>
    <t>Mouse sales</t>
  </si>
  <si>
    <t>K-04</t>
  </si>
  <si>
    <t>Desk sales</t>
  </si>
  <si>
    <t>K-05</t>
  </si>
  <si>
    <t>Hub sales</t>
  </si>
  <si>
    <t>K-06</t>
  </si>
  <si>
    <t>Monitor sales</t>
  </si>
  <si>
    <t>K-07</t>
  </si>
  <si>
    <t>Lamp sales</t>
  </si>
  <si>
    <t>K-08</t>
  </si>
  <si>
    <t>Keyboard sales</t>
  </si>
  <si>
    <t>K-09</t>
  </si>
  <si>
    <t>Webcam sales</t>
  </si>
  <si>
    <t>K-10</t>
  </si>
  <si>
    <t>Headset sales</t>
  </si>
  <si>
    <t>K-11</t>
  </si>
  <si>
    <t>Cable sales</t>
  </si>
  <si>
    <t>K-12</t>
  </si>
  <si>
    <t>Scanner sales</t>
  </si>
  <si>
    <t>Managing Rules</t>
  </si>
  <si>
    <t>Apply two or three rules to D5:D16 (e.g. Greater Than 200000, Below Average, Data Bars), then open Conditional Formatting &gt; Manage Rules to show the list, the scope dropdown, the order and Stop If True.</t>
  </si>
  <si>
    <t>Branch</t>
  </si>
  <si>
    <t>Manager</t>
  </si>
  <si>
    <t>Headcount</t>
  </si>
  <si>
    <t>Margin</t>
  </si>
  <si>
    <t>Bar Charts</t>
  </si>
  <si>
    <t>Select A4:B11 including the headers, then Insert &gt; Bar Chart &gt; Clustered Bar. Long category names read well on a bar chart. Use Chart Elements (+) to add data labels.</t>
  </si>
  <si>
    <t>Stacked Bar Charts</t>
  </si>
  <si>
    <t>Select A4:D9, then Insert &gt; Bar Chart &gt; Stacked Bar. The full bar length is the total; each segment is one product line. Switch to 100% Stacked Bar to compare shares only.</t>
  </si>
  <si>
    <t>Stacked Column Charts</t>
  </si>
  <si>
    <t>Select A4:D12, then Insert &gt; Column Chart &gt; Stacked Column. Column height is the quarterly total; the segments show what makes it up. 100% Stacked Column shows composition instead.</t>
  </si>
  <si>
    <t>Q1 2024</t>
  </si>
  <si>
    <t>Q2 2024</t>
  </si>
  <si>
    <t>Q3 2024</t>
  </si>
  <si>
    <t>Q4 2024</t>
  </si>
  <si>
    <t>Pie Charts</t>
  </si>
  <si>
    <t>Select A4:B10 (one label column and one value column), then Insert &gt; Pie Chart. Add percentage data labels with Chart Elements (+) &gt; Data Labels &gt; More Options &gt; Percentage.</t>
  </si>
  <si>
    <t>Line Charts</t>
  </si>
  <si>
    <t>Select A4:D16, then Insert &gt; Line Chart &gt; Line with Markers. The category axis is time, so keep the months in chronological order. Three series are plotted on the same axes.</t>
  </si>
  <si>
    <t>Stacked Line Charts</t>
  </si>
  <si>
    <t>Select A4:D12, then Insert &gt; Line Chart &gt; Stacked Line. Each series is drawn on top of the one below it, so the top line is the cumulative total - label the series clearly.</t>
  </si>
  <si>
    <t>100% Stacked Line Charts</t>
  </si>
  <si>
    <t>Select A4:D16, then Insert &gt; Line Chart &gt; 100% Stacked Line. Every month is rescaled so the three series total 100%, and the top line sits flat at 100%.</t>
  </si>
  <si>
    <t>Radar Charts</t>
  </si>
  <si>
    <t>Select A4:C10, then Insert &gt; Charts &gt; Waterfall/Stock/Radar group &gt; Radar with Markers. The outline shape shows each model's overall profile across the same six criteria.</t>
  </si>
  <si>
    <t>Click the chart to reveal the three side buttons: Chart Elements (+), Chart Styles (brush) and Chart Filters (funnel). Open the + menu for the screenshot, then try Chart Design &gt; Switch Row/Column.</t>
  </si>
  <si>
    <t>Costs</t>
  </si>
  <si>
    <t>One worksheet per screenshot. Each sheet has its title in A1, the exact steps to perform in A2, and the data from row 4 down.</t>
  </si>
  <si>
    <t>#</t>
  </si>
  <si>
    <t>Slide / screenshot</t>
  </si>
  <si>
    <t>Worksheet</t>
  </si>
  <si>
    <t>What the screenshot should show</t>
  </si>
  <si>
    <t>01 Sorting</t>
  </si>
  <si>
    <t>Data &gt; Sort A-Z / Z-A, plus Sort &gt; Add Level</t>
  </si>
  <si>
    <t>02 Filtering</t>
  </si>
  <si>
    <t>Data &gt; Filter, dropdown with checkbox list and Number Filters</t>
  </si>
  <si>
    <t>Creating a Table</t>
  </si>
  <si>
    <t>03 Creating a Table</t>
  </si>
  <si>
    <t>Insert &gt; Table / Ctrl + T dialog</t>
  </si>
  <si>
    <t>04 Table Design Tab</t>
  </si>
  <si>
    <t>Table Design ribbon, Table Style Options checkboxes</t>
  </si>
  <si>
    <t>05 Resizing a Table</t>
  </si>
  <si>
    <t>Resize handle dragged + Resize Table dialog</t>
  </si>
  <si>
    <t>06 Removing Duplicates</t>
  </si>
  <si>
    <t>Remove Duplicates dialog + confirmation message</t>
  </si>
  <si>
    <t>07 Convert to Range</t>
  </si>
  <si>
    <t>Convert to Range button + Yes/No prompt</t>
  </si>
  <si>
    <t>08 Table Styles</t>
  </si>
  <si>
    <t>Expanded Table Styles gallery (Light / Medium / Dark)</t>
  </si>
  <si>
    <t>09 CF Basics</t>
  </si>
  <si>
    <t>Conditional Formatting menu fully expanded, six groups</t>
  </si>
  <si>
    <t>10 Highlight Cell Rules</t>
  </si>
  <si>
    <t>Highlight Cell Rules submenu, all seven rule types</t>
  </si>
  <si>
    <t>11 Greater Than</t>
  </si>
  <si>
    <t>Greater Than dialog, threshold typed, format dropdown open</t>
  </si>
  <si>
    <t>12 Less Than</t>
  </si>
  <si>
    <t>Less Than dialog + highlighted low-stock cells</t>
  </si>
  <si>
    <t>13 Between</t>
  </si>
  <si>
    <t>Between dialog with both limits + highlighted result</t>
  </si>
  <si>
    <t>14 Equal To</t>
  </si>
  <si>
    <t>Equal To dialog + matching cells highlighted</t>
  </si>
  <si>
    <t>15 Text That Contains</t>
  </si>
  <si>
    <t>Text that Contains dialog + keyword matches</t>
  </si>
  <si>
    <t>16 A Date Occurring</t>
  </si>
  <si>
    <t>A Date Occurring dialog with period dropdown open</t>
  </si>
  <si>
    <t>17 Duplicate &amp; Unique</t>
  </si>
  <si>
    <t>Duplicate Values dialog with Duplicate/Unique dropdown</t>
  </si>
  <si>
    <t>18 Top Bottom Rules</t>
  </si>
  <si>
    <t>Top/Bottom submenu + Top 10 Items dialog with spinner</t>
  </si>
  <si>
    <t>19 Above Below Average</t>
  </si>
  <si>
    <t>Above Average rule applied to a numeric column</t>
  </si>
  <si>
    <t>20 Data Bars</t>
  </si>
  <si>
    <t>Data Bars gallery + column with gradient bars</t>
  </si>
  <si>
    <t>21 Color Scales</t>
  </si>
  <si>
    <t>Color Scales gallery + red-yellow-green heat map</t>
  </si>
  <si>
    <t>22 Icon Sets</t>
  </si>
  <si>
    <t>Icon Sets gallery: Directional / Shapes / Indicators / Ratings</t>
  </si>
  <si>
    <t>23 Managing Rules</t>
  </si>
  <si>
    <t>Rules Manager with several rules and the scope dropdown</t>
  </si>
  <si>
    <t>24 Bar Chart</t>
  </si>
  <si>
    <t>Insert &gt; Bar Chart dropdown + finished chart beside its range</t>
  </si>
  <si>
    <t>25 Stacked Bar Chart</t>
  </si>
  <si>
    <t>Stacked Bar option in the dropdown + multi-series chart</t>
  </si>
  <si>
    <t>26 Stacked Column Chart</t>
  </si>
  <si>
    <t>Column dropdown with Stacked Column highlighted + chart</t>
  </si>
  <si>
    <t>27 Pie Chart</t>
  </si>
  <si>
    <t>Pie insert menu + pie chart with percentage labels</t>
  </si>
  <si>
    <t>28 Line Chart</t>
  </si>
  <si>
    <t>Line insert menu + multi-series line chart with legend</t>
  </si>
  <si>
    <t>29 Stacked Line Chart</t>
  </si>
  <si>
    <t>Stacked Line option + resulting cumulative chart</t>
  </si>
  <si>
    <t>30 100 Pct Stacked Line</t>
  </si>
  <si>
    <t>100% Stacked Line type + chart with percentage axis</t>
  </si>
  <si>
    <t>31 Radar Chart</t>
  </si>
  <si>
    <t>Radar type in Insert Chart dialog + two-series radar chart</t>
  </si>
  <si>
    <t>32 Customising Charts</t>
  </si>
  <si>
    <t>Selected chart with + / brush / funnel buttons, + menu open</t>
  </si>
  <si>
    <t>Note: sheet '16 A Date Occurring' uses TODAY() formulas, so the dates always line up with yesterday / today / tomorrow / this week / this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</si>
</sst>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7" formatCode="0.0"/>
    <numFmt numFmtId="168" formatCode="0.0%"/>
    <numFmt numFmtId="169" formatCode="#,##0;\(#,##0\);\-"/>
    <numFmt numFmtId="170" formatCode="[$$-409]#,##0.00"/>
    <numFmt numFmtId="171" formatCode="[$$-409]#,##0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1F3864"/>
      <name val="Aptos Narrow"/>
      <family val="2"/>
      <scheme val="minor"/>
    </font>
    <font>
      <i/>
      <sz val="12"/>
      <color rgb="FF595959"/>
      <name val="Aptos Narrow"/>
      <family val="2"/>
      <scheme val="minor"/>
    </font>
    <font>
      <i/>
      <sz val="12"/>
      <color rgb="FFC00000"/>
      <name val="Aptos Narrow"/>
      <family val="2"/>
      <scheme val="minor"/>
    </font>
    <font>
      <b/>
      <sz val="16"/>
      <color rgb="FF1F386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0" borderId="0" xfId="0" applyFont="1"/>
    <xf numFmtId="0" fontId="3" fillId="0" borderId="0" xfId="0" applyFont="1"/>
    <xf numFmtId="167" fontId="0" fillId="0" borderId="0" xfId="0" applyNumberFormat="1"/>
    <xf numFmtId="0" fontId="4" fillId="0" borderId="0" xfId="0" applyFont="1"/>
    <xf numFmtId="168" fontId="0" fillId="0" borderId="0" xfId="0" applyNumberFormat="1"/>
    <xf numFmtId="9" fontId="0" fillId="0" borderId="0" xfId="0" applyNumberFormat="1"/>
    <xf numFmtId="3" fontId="0" fillId="0" borderId="0" xfId="0" applyNumberFormat="1"/>
    <xf numFmtId="169" fontId="0" fillId="0" borderId="0" xfId="0" applyNumberFormat="1"/>
    <xf numFmtId="0" fontId="5" fillId="0" borderId="0" xfId="0" applyFont="1"/>
    <xf numFmtId="0" fontId="2" fillId="0" borderId="0" xfId="0" applyNumberFormat="1" applyFont="1"/>
    <xf numFmtId="0" fontId="0" fillId="0" borderId="0" xfId="0" applyNumberFormat="1"/>
    <xf numFmtId="0" fontId="3" fillId="0" borderId="0" xfId="0" applyNumberFormat="1" applyFont="1"/>
    <xf numFmtId="0" fontId="1" fillId="2" borderId="0" xfId="0" applyNumberFormat="1" applyFont="1" applyFill="1"/>
    <xf numFmtId="170" fontId="0" fillId="0" borderId="0" xfId="0" applyNumberFormat="1"/>
    <xf numFmtId="171" fontId="0" fillId="0" borderId="0" xfId="0" applyNumberFormat="1"/>
    <xf numFmtId="0" fontId="4" fillId="0" borderId="0" xfId="0" applyNumberFormat="1" applyFont="1"/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'24 Bar Chart'!$B$4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'24 Bar Chart'!$A$5:$A$11</c:f>
              <c:strCache>
                <c:ptCount val="7"/>
                <c:pt idx="0">
                  <c:v>Customer Support</c:v>
                </c:pt>
                <c:pt idx="1">
                  <c:v>Field Operations</c:v>
                </c:pt>
                <c:pt idx="2">
                  <c:v>Marketing &amp; Communications</c:v>
                </c:pt>
                <c:pt idx="3">
                  <c:v>Product Engineering</c:v>
                </c:pt>
                <c:pt idx="4">
                  <c:v>Regional Sales - North</c:v>
                </c:pt>
                <c:pt idx="5">
                  <c:v>Regional Sales - South</c:v>
                </c:pt>
                <c:pt idx="6">
                  <c:v>Research &amp; Development</c:v>
                </c:pt>
              </c:strCache>
            </c:strRef>
          </c:cat>
          <c:val>
            <c:numRef>
              <c:f>'24 Bar Chart'!$B$5:$B$11</c:f>
              <c:numCache>
                <c:formatCode>[$$-409]#,##0</c:formatCode>
                <c:ptCount val="7"/>
                <c:pt idx="0">
                  <c:v>184000</c:v>
                </c:pt>
                <c:pt idx="1">
                  <c:v>256000</c:v>
                </c:pt>
                <c:pt idx="2">
                  <c:v>143000</c:v>
                </c:pt>
                <c:pt idx="3">
                  <c:v>398000</c:v>
                </c:pt>
                <c:pt idx="4">
                  <c:v>312000</c:v>
                </c:pt>
                <c:pt idx="5">
                  <c:v>275000</c:v>
                </c:pt>
                <c:pt idx="6">
                  <c:v>221000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7-9349-9630-57D02957F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6768640"/>
        <c:axId val="1765994752"/>
      </c:barChart>
      <c:catAx>
        <c:axId val="1766768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765994752"/>
        <c:crosses val="autoZero"/>
        <c:auto val="1"/>
        <c:lblAlgn val="ctr"/>
        <c:lblOffset val="100"/>
        <c:noMultiLvlLbl val="0"/>
      </c:catAx>
      <c:valAx>
        <c:axId val="1765994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766768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Channel and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'25 Stacked Bar Chart'!$B$4</c:f>
              <c:strCache>
                <c:ptCount val="1"/>
                <c:pt idx="0">
                  <c:v>Hardware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 Stacked Bar Chart'!$A$5:$A$9</c:f>
              <c:strCache>
                <c:ptCount val="5"/>
                <c:pt idx="0">
                  <c:v>Online Store</c:v>
                </c:pt>
                <c:pt idx="1">
                  <c:v>Retail Partners</c:v>
                </c:pt>
                <c:pt idx="2">
                  <c:v>Direct Sales</c:v>
                </c:pt>
                <c:pt idx="3">
                  <c:v>Marketplace</c:v>
                </c:pt>
                <c:pt idx="4">
                  <c:v>Resellers</c:v>
                </c:pt>
              </c:strCache>
            </c:strRef>
          </c:cat>
          <c:val>
            <c:numRef>
              <c:f>'25 Stacked Bar Chart'!$B$5:$B$9</c:f>
              <c:numCache>
                <c:formatCode>[$$-409]#,##0</c:formatCode>
                <c:ptCount val="5"/>
                <c:pt idx="0">
                  <c:v>148000</c:v>
                </c:pt>
                <c:pt idx="1">
                  <c:v>112000</c:v>
                </c:pt>
                <c:pt idx="2">
                  <c:v>95000</c:v>
                </c:pt>
                <c:pt idx="3">
                  <c:v>58000</c:v>
                </c:pt>
                <c:pt idx="4">
                  <c:v>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C-C74B-AFBB-866F36BA118F}"/>
            </c:ext>
          </c:extLst>
        </c:ser>
        <c:ser>
          <c:idx val="1"/>
          <c:order val="1"/>
          <c:tx>
            <c:strRef>
              <c:f>'25 Stacked Bar Chart'!$C$4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 Stacked Bar Chart'!$A$5:$A$9</c:f>
              <c:strCache>
                <c:ptCount val="5"/>
                <c:pt idx="0">
                  <c:v>Online Store</c:v>
                </c:pt>
                <c:pt idx="1">
                  <c:v>Retail Partners</c:v>
                </c:pt>
                <c:pt idx="2">
                  <c:v>Direct Sales</c:v>
                </c:pt>
                <c:pt idx="3">
                  <c:v>Marketplace</c:v>
                </c:pt>
                <c:pt idx="4">
                  <c:v>Resellers</c:v>
                </c:pt>
              </c:strCache>
            </c:strRef>
          </c:cat>
          <c:val>
            <c:numRef>
              <c:f>'25 Stacked Bar Chart'!$C$5:$C$9</c:f>
              <c:numCache>
                <c:formatCode>[$$-409]#,##0</c:formatCode>
                <c:ptCount val="5"/>
                <c:pt idx="0">
                  <c:v>96000</c:v>
                </c:pt>
                <c:pt idx="1">
                  <c:v>84000</c:v>
                </c:pt>
                <c:pt idx="2">
                  <c:v>61000</c:v>
                </c:pt>
                <c:pt idx="3">
                  <c:v>32000</c:v>
                </c:pt>
                <c:pt idx="4">
                  <c:v>27000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4C-C74B-AFBB-866F36BA118F}"/>
            </c:ext>
          </c:extLst>
        </c:ser>
        <c:ser>
          <c:idx val="2"/>
          <c:order val="2"/>
          <c:tx>
            <c:strRef>
              <c:f>'25 Stacked Bar Chart'!$D$4</c:f>
              <c:strCache>
                <c:ptCount val="1"/>
                <c:pt idx="0">
                  <c:v>Accessories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'25 Stacked Bar Chart'!$A$5:$A$9</c:f>
              <c:strCache>
                <c:ptCount val="5"/>
                <c:pt idx="0">
                  <c:v>Online Store</c:v>
                </c:pt>
                <c:pt idx="1">
                  <c:v>Retail Partners</c:v>
                </c:pt>
                <c:pt idx="2">
                  <c:v>Direct Sales</c:v>
                </c:pt>
                <c:pt idx="3">
                  <c:v>Marketplace</c:v>
                </c:pt>
                <c:pt idx="4">
                  <c:v>Resellers</c:v>
                </c:pt>
              </c:strCache>
            </c:strRef>
          </c:cat>
          <c:val>
            <c:numRef>
              <c:f>'25 Stacked Bar Chart'!$D$5:$D$9</c:f>
              <c:numCache>
                <c:formatCode>[$$-409]#,##0</c:formatCode>
                <c:ptCount val="5"/>
                <c:pt idx="0">
                  <c:v>168000</c:v>
                </c:pt>
                <c:pt idx="1">
                  <c:v>72000</c:v>
                </c:pt>
                <c:pt idx="2">
                  <c:v>39000</c:v>
                </c:pt>
                <c:pt idx="3">
                  <c:v>44000</c:v>
                </c:pt>
                <c:pt idx="4">
                  <c:v>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4C-C74B-AFBB-866F36BA1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14166336"/>
        <c:axId val="1714165888"/>
      </c:barChart>
      <c:catAx>
        <c:axId val="1714166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714165888"/>
        <c:crosses val="autoZero"/>
        <c:auto val="1"/>
        <c:lblAlgn val="ctr"/>
        <c:lblOffset val="100"/>
        <c:noMultiLvlLbl val="0"/>
      </c:catAx>
      <c:valAx>
        <c:axId val="171416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71416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Quarterly 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'26 Stacked Column Chart'!$B$4</c:f>
              <c:strCache>
                <c:ptCount val="1"/>
                <c:pt idx="0">
                  <c:v>Hardware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'26 Stacked Column Chart'!$A$5:$A$12</c:f>
              <c:strCache>
                <c:ptCount val="8"/>
                <c:pt idx="0">
                  <c:v>Q1 2024</c:v>
                </c:pt>
                <c:pt idx="1">
                  <c:v>Q2 2024</c:v>
                </c:pt>
                <c:pt idx="2">
                  <c:v>Q3 2024</c:v>
                </c:pt>
                <c:pt idx="3">
                  <c:v>Q4 2024</c:v>
                </c:pt>
                <c:pt idx="4">
                  <c:v>Q1 2025</c:v>
                </c:pt>
                <c:pt idx="5">
                  <c:v>Q2 2025</c:v>
                </c:pt>
                <c:pt idx="6">
                  <c:v>Q3 2025</c:v>
                </c:pt>
                <c:pt idx="7">
                  <c:v>Q4 2025</c:v>
                </c:pt>
              </c:strCache>
            </c:strRef>
          </c:cat>
          <c:val>
            <c:numRef>
              <c:f>'26 Stacked Column Chart'!$B$5:$B$12</c:f>
              <c:numCache>
                <c:formatCode>[$$-409]#,##0</c:formatCode>
                <c:ptCount val="8"/>
                <c:pt idx="0">
                  <c:v>104000</c:v>
                </c:pt>
                <c:pt idx="1">
                  <c:v>118000</c:v>
                </c:pt>
                <c:pt idx="2">
                  <c:v>127000</c:v>
                </c:pt>
                <c:pt idx="3">
                  <c:v>139000</c:v>
                </c:pt>
                <c:pt idx="4">
                  <c:v>120000</c:v>
                </c:pt>
                <c:pt idx="5">
                  <c:v>138000</c:v>
                </c:pt>
                <c:pt idx="6">
                  <c:v>151000</c:v>
                </c:pt>
                <c:pt idx="7">
                  <c:v>167000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34-2043-A668-FDF4BB4470A9}"/>
            </c:ext>
          </c:extLst>
        </c:ser>
        <c:ser>
          <c:idx val="1"/>
          <c:order val="1"/>
          <c:tx>
            <c:strRef>
              <c:f>'26 Stacked Column Chart'!$C$4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'26 Stacked Column Chart'!$A$5:$A$12</c:f>
              <c:strCache>
                <c:ptCount val="8"/>
                <c:pt idx="0">
                  <c:v>Q1 2024</c:v>
                </c:pt>
                <c:pt idx="1">
                  <c:v>Q2 2024</c:v>
                </c:pt>
                <c:pt idx="2">
                  <c:v>Q3 2024</c:v>
                </c:pt>
                <c:pt idx="3">
                  <c:v>Q4 2024</c:v>
                </c:pt>
                <c:pt idx="4">
                  <c:v>Q1 2025</c:v>
                </c:pt>
                <c:pt idx="5">
                  <c:v>Q2 2025</c:v>
                </c:pt>
                <c:pt idx="6">
                  <c:v>Q3 2025</c:v>
                </c:pt>
                <c:pt idx="7">
                  <c:v>Q4 2025</c:v>
                </c:pt>
              </c:strCache>
            </c:strRef>
          </c:cat>
          <c:val>
            <c:numRef>
              <c:f>'26 Stacked Column Chart'!$C$5:$C$12</c:f>
              <c:numCache>
                <c:formatCode>[$$-409]#,##0</c:formatCode>
                <c:ptCount val="8"/>
                <c:pt idx="0">
                  <c:v>71000</c:v>
                </c:pt>
                <c:pt idx="1">
                  <c:v>66000</c:v>
                </c:pt>
                <c:pt idx="2">
                  <c:v>82000</c:v>
                </c:pt>
                <c:pt idx="3">
                  <c:v>75000</c:v>
                </c:pt>
                <c:pt idx="4">
                  <c:v>84000</c:v>
                </c:pt>
                <c:pt idx="5">
                  <c:v>79000</c:v>
                </c:pt>
                <c:pt idx="6">
                  <c:v>96000</c:v>
                </c:pt>
                <c:pt idx="7">
                  <c:v>88000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34-2043-A668-FDF4BB4470A9}"/>
            </c:ext>
          </c:extLst>
        </c:ser>
        <c:ser>
          <c:idx val="2"/>
          <c:order val="2"/>
          <c:tx>
            <c:strRef>
              <c:f>'26 Stacked Column Chart'!$D$4</c:f>
              <c:strCache>
                <c:ptCount val="1"/>
                <c:pt idx="0">
                  <c:v>Accessories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'26 Stacked Column Chart'!$A$5:$A$12</c:f>
              <c:strCache>
                <c:ptCount val="8"/>
                <c:pt idx="0">
                  <c:v>Q1 2024</c:v>
                </c:pt>
                <c:pt idx="1">
                  <c:v>Q2 2024</c:v>
                </c:pt>
                <c:pt idx="2">
                  <c:v>Q3 2024</c:v>
                </c:pt>
                <c:pt idx="3">
                  <c:v>Q4 2024</c:v>
                </c:pt>
                <c:pt idx="4">
                  <c:v>Q1 2025</c:v>
                </c:pt>
                <c:pt idx="5">
                  <c:v>Q2 2025</c:v>
                </c:pt>
                <c:pt idx="6">
                  <c:v>Q3 2025</c:v>
                </c:pt>
                <c:pt idx="7">
                  <c:v>Q4 2025</c:v>
                </c:pt>
              </c:strCache>
            </c:strRef>
          </c:cat>
          <c:val>
            <c:numRef>
              <c:f>'26 Stacked Column Chart'!$D$5:$D$12</c:f>
              <c:numCache>
                <c:formatCode>[$$-409]#,##0</c:formatCode>
                <c:ptCount val="8"/>
                <c:pt idx="0">
                  <c:v>38000</c:v>
                </c:pt>
                <c:pt idx="1">
                  <c:v>44000</c:v>
                </c:pt>
                <c:pt idx="2">
                  <c:v>49000</c:v>
                </c:pt>
                <c:pt idx="3">
                  <c:v>58000</c:v>
                </c:pt>
                <c:pt idx="4">
                  <c:v>46000</c:v>
                </c:pt>
                <c:pt idx="5">
                  <c:v>52000</c:v>
                </c:pt>
                <c:pt idx="6">
                  <c:v>61000</c:v>
                </c:pt>
                <c:pt idx="7">
                  <c:v>73000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34-2043-A668-FDF4BB447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14366080"/>
        <c:axId val="1714367872"/>
      </c:barChart>
      <c:catAx>
        <c:axId val="171436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714367872"/>
        <c:crosses val="autoZero"/>
        <c:auto val="1"/>
        <c:lblAlgn val="ctr"/>
        <c:lblOffset val="100"/>
        <c:noMultiLvlLbl val="0"/>
      </c:catAx>
      <c:valAx>
        <c:axId val="171436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71436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 Share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'27 Pie Chart'!$B$4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'27 Pie Chart'!$A$5:$A$10</c:f>
              <c:strCache>
                <c:ptCount val="6"/>
                <c:pt idx="0">
                  <c:v>Online Store</c:v>
                </c:pt>
                <c:pt idx="1">
                  <c:v>Retail Partners</c:v>
                </c:pt>
                <c:pt idx="2">
                  <c:v>Direct Sales</c:v>
                </c:pt>
                <c:pt idx="3">
                  <c:v>Marketplace</c:v>
                </c:pt>
                <c:pt idx="4">
                  <c:v>Resellers</c:v>
                </c:pt>
                <c:pt idx="5">
                  <c:v>Other</c:v>
                </c:pt>
              </c:strCache>
            </c:strRef>
          </c:cat>
          <c:val>
            <c:numRef>
              <c:f>'27 Pie Chart'!$B$5:$B$10</c:f>
              <c:numCache>
                <c:formatCode>[$$-409]#,##0</c:formatCode>
                <c:ptCount val="6"/>
                <c:pt idx="0">
                  <c:v>412000</c:v>
                </c:pt>
                <c:pt idx="1">
                  <c:v>268000</c:v>
                </c:pt>
                <c:pt idx="2">
                  <c:v>195000</c:v>
                </c:pt>
                <c:pt idx="3">
                  <c:v>134000</c:v>
                </c:pt>
                <c:pt idx="4">
                  <c:v>87000</c:v>
                </c:pt>
                <c:pt idx="5">
                  <c:v>42000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94-2446-AFC4-43A5AED18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Units Sold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 Line Chart'!$B$4</c:f>
              <c:strCache>
                <c:ptCount val="1"/>
                <c:pt idx="0">
                  <c:v>Hardware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 Line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'28 Line Chart'!$B$5:$B$16</c:f>
              <c:numCache>
                <c:formatCode>General</c:formatCode>
                <c:ptCount val="12"/>
                <c:pt idx="0">
                  <c:v>210</c:v>
                </c:pt>
                <c:pt idx="1">
                  <c:v>225</c:v>
                </c:pt>
                <c:pt idx="2">
                  <c:v>248</c:v>
                </c:pt>
                <c:pt idx="3">
                  <c:v>233</c:v>
                </c:pt>
                <c:pt idx="4">
                  <c:v>261</c:v>
                </c:pt>
                <c:pt idx="5">
                  <c:v>287</c:v>
                </c:pt>
                <c:pt idx="6">
                  <c:v>302</c:v>
                </c:pt>
                <c:pt idx="7">
                  <c:v>294</c:v>
                </c:pt>
                <c:pt idx="8">
                  <c:v>318</c:v>
                </c:pt>
                <c:pt idx="9">
                  <c:v>341</c:v>
                </c:pt>
                <c:pt idx="10">
                  <c:v>366</c:v>
                </c:pt>
                <c:pt idx="11">
                  <c:v>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72-024B-B5F9-036D33A90B2F}"/>
            </c:ext>
          </c:extLst>
        </c:ser>
        <c:ser>
          <c:idx val="1"/>
          <c:order val="1"/>
          <c:tx>
            <c:strRef>
              <c:f>'28 Line Chart'!$C$4</c:f>
              <c:strCache>
                <c:ptCount val="1"/>
                <c:pt idx="0">
                  <c:v>Furniture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 Line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'28 Line Chart'!$C$5:$C$16</c:f>
              <c:numCache>
                <c:formatCode>General</c:formatCode>
                <c:ptCount val="12"/>
                <c:pt idx="0">
                  <c:v>140</c:v>
                </c:pt>
                <c:pt idx="1">
                  <c:v>132</c:v>
                </c:pt>
                <c:pt idx="2">
                  <c:v>155</c:v>
                </c:pt>
                <c:pt idx="3">
                  <c:v>168</c:v>
                </c:pt>
                <c:pt idx="4">
                  <c:v>149</c:v>
                </c:pt>
                <c:pt idx="5">
                  <c:v>176</c:v>
                </c:pt>
                <c:pt idx="6">
                  <c:v>161</c:v>
                </c:pt>
                <c:pt idx="7">
                  <c:v>183</c:v>
                </c:pt>
                <c:pt idx="8">
                  <c:v>190</c:v>
                </c:pt>
                <c:pt idx="9">
                  <c:v>175</c:v>
                </c:pt>
                <c:pt idx="10">
                  <c:v>204</c:v>
                </c:pt>
                <c:pt idx="11">
                  <c:v>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72-024B-B5F9-036D33A90B2F}"/>
            </c:ext>
          </c:extLst>
        </c:ser>
        <c:ser>
          <c:idx val="2"/>
          <c:order val="2"/>
          <c:tx>
            <c:strRef>
              <c:f>'28 Line Chart'!$D$4</c:f>
              <c:strCache>
                <c:ptCount val="1"/>
                <c:pt idx="0">
                  <c:v>Accessories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'28 Line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'28 Line Chart'!$D$5:$D$16</c:f>
              <c:numCache>
                <c:formatCode>General</c:formatCode>
                <c:ptCount val="12"/>
                <c:pt idx="0">
                  <c:v>320</c:v>
                </c:pt>
                <c:pt idx="1">
                  <c:v>345</c:v>
                </c:pt>
                <c:pt idx="2">
                  <c:v>301</c:v>
                </c:pt>
                <c:pt idx="3">
                  <c:v>378</c:v>
                </c:pt>
                <c:pt idx="4">
                  <c:v>392</c:v>
                </c:pt>
                <c:pt idx="5">
                  <c:v>410</c:v>
                </c:pt>
                <c:pt idx="6">
                  <c:v>455</c:v>
                </c:pt>
                <c:pt idx="7">
                  <c:v>438</c:v>
                </c:pt>
                <c:pt idx="8">
                  <c:v>472</c:v>
                </c:pt>
                <c:pt idx="9">
                  <c:v>501</c:v>
                </c:pt>
                <c:pt idx="10">
                  <c:v>530</c:v>
                </c:pt>
                <c:pt idx="11">
                  <c:v>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72-024B-B5F9-036D33A90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4617216"/>
        <c:axId val="1714766720"/>
      </c:lineChart>
      <c:catAx>
        <c:axId val="171461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714766720"/>
        <c:crosses val="autoZero"/>
        <c:auto val="1"/>
        <c:lblAlgn val="ctr"/>
        <c:lblOffset val="100"/>
        <c:noMultiLvlLbl val="0"/>
      </c:catAx>
      <c:valAx>
        <c:axId val="171476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71461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Units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'29 Stacked Line Chart'!$B$4</c:f>
              <c:strCache>
                <c:ptCount val="1"/>
                <c:pt idx="0">
                  <c:v>Hardware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 Stacked Line Chart'!$A$5:$A$12</c:f>
              <c:strCache>
                <c:ptCount val="8"/>
                <c:pt idx="0">
                  <c:v>Q1 2024</c:v>
                </c:pt>
                <c:pt idx="1">
                  <c:v>Q2 2024</c:v>
                </c:pt>
                <c:pt idx="2">
                  <c:v>Q3 2024</c:v>
                </c:pt>
                <c:pt idx="3">
                  <c:v>Q4 2024</c:v>
                </c:pt>
                <c:pt idx="4">
                  <c:v>Q1 2025</c:v>
                </c:pt>
                <c:pt idx="5">
                  <c:v>Q2 2025</c:v>
                </c:pt>
                <c:pt idx="6">
                  <c:v>Q3 2025</c:v>
                </c:pt>
                <c:pt idx="7">
                  <c:v>Q4 2025</c:v>
                </c:pt>
              </c:strCache>
            </c:strRef>
          </c:cat>
          <c:val>
            <c:numRef>
              <c:f>'29 Stacked Line Chart'!$B$5:$B$12</c:f>
              <c:numCache>
                <c:formatCode>General</c:formatCode>
                <c:ptCount val="8"/>
                <c:pt idx="0">
                  <c:v>104</c:v>
                </c:pt>
                <c:pt idx="1">
                  <c:v>118</c:v>
                </c:pt>
                <c:pt idx="2">
                  <c:v>127</c:v>
                </c:pt>
                <c:pt idx="3">
                  <c:v>139</c:v>
                </c:pt>
                <c:pt idx="4">
                  <c:v>120</c:v>
                </c:pt>
                <c:pt idx="5">
                  <c:v>138</c:v>
                </c:pt>
                <c:pt idx="6">
                  <c:v>151</c:v>
                </c:pt>
                <c:pt idx="7">
                  <c:v>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62-8245-88E2-6941D2DC2352}"/>
            </c:ext>
          </c:extLst>
        </c:ser>
        <c:ser>
          <c:idx val="1"/>
          <c:order val="1"/>
          <c:tx>
            <c:strRef>
              <c:f>'29 Stacked Line Chart'!$C$4</c:f>
              <c:strCache>
                <c:ptCount val="1"/>
                <c:pt idx="0">
                  <c:v>Furniture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 Stacked Line Chart'!$A$5:$A$12</c:f>
              <c:strCache>
                <c:ptCount val="8"/>
                <c:pt idx="0">
                  <c:v>Q1 2024</c:v>
                </c:pt>
                <c:pt idx="1">
                  <c:v>Q2 2024</c:v>
                </c:pt>
                <c:pt idx="2">
                  <c:v>Q3 2024</c:v>
                </c:pt>
                <c:pt idx="3">
                  <c:v>Q4 2024</c:v>
                </c:pt>
                <c:pt idx="4">
                  <c:v>Q1 2025</c:v>
                </c:pt>
                <c:pt idx="5">
                  <c:v>Q2 2025</c:v>
                </c:pt>
                <c:pt idx="6">
                  <c:v>Q3 2025</c:v>
                </c:pt>
                <c:pt idx="7">
                  <c:v>Q4 2025</c:v>
                </c:pt>
              </c:strCache>
            </c:strRef>
          </c:cat>
          <c:val>
            <c:numRef>
              <c:f>'29 Stacked Line Chart'!$C$5:$C$12</c:f>
              <c:numCache>
                <c:formatCode>General</c:formatCode>
                <c:ptCount val="8"/>
                <c:pt idx="0">
                  <c:v>71</c:v>
                </c:pt>
                <c:pt idx="1">
                  <c:v>66</c:v>
                </c:pt>
                <c:pt idx="2">
                  <c:v>82</c:v>
                </c:pt>
                <c:pt idx="3">
                  <c:v>75</c:v>
                </c:pt>
                <c:pt idx="4">
                  <c:v>84</c:v>
                </c:pt>
                <c:pt idx="5">
                  <c:v>79</c:v>
                </c:pt>
                <c:pt idx="6">
                  <c:v>96</c:v>
                </c:pt>
                <c:pt idx="7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62-8245-88E2-6941D2DC2352}"/>
            </c:ext>
          </c:extLst>
        </c:ser>
        <c:ser>
          <c:idx val="2"/>
          <c:order val="2"/>
          <c:tx>
            <c:strRef>
              <c:f>'29 Stacked Line Chart'!$D$4</c:f>
              <c:strCache>
                <c:ptCount val="1"/>
                <c:pt idx="0">
                  <c:v>Accessories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'29 Stacked Line Chart'!$A$5:$A$12</c:f>
              <c:strCache>
                <c:ptCount val="8"/>
                <c:pt idx="0">
                  <c:v>Q1 2024</c:v>
                </c:pt>
                <c:pt idx="1">
                  <c:v>Q2 2024</c:v>
                </c:pt>
                <c:pt idx="2">
                  <c:v>Q3 2024</c:v>
                </c:pt>
                <c:pt idx="3">
                  <c:v>Q4 2024</c:v>
                </c:pt>
                <c:pt idx="4">
                  <c:v>Q1 2025</c:v>
                </c:pt>
                <c:pt idx="5">
                  <c:v>Q2 2025</c:v>
                </c:pt>
                <c:pt idx="6">
                  <c:v>Q3 2025</c:v>
                </c:pt>
                <c:pt idx="7">
                  <c:v>Q4 2025</c:v>
                </c:pt>
              </c:strCache>
            </c:strRef>
          </c:cat>
          <c:val>
            <c:numRef>
              <c:f>'29 Stacked Line Chart'!$D$5:$D$12</c:f>
              <c:numCache>
                <c:formatCode>General</c:formatCode>
                <c:ptCount val="8"/>
                <c:pt idx="0">
                  <c:v>38</c:v>
                </c:pt>
                <c:pt idx="1">
                  <c:v>44</c:v>
                </c:pt>
                <c:pt idx="2">
                  <c:v>49</c:v>
                </c:pt>
                <c:pt idx="3">
                  <c:v>58</c:v>
                </c:pt>
                <c:pt idx="4">
                  <c:v>46</c:v>
                </c:pt>
                <c:pt idx="5">
                  <c:v>52</c:v>
                </c:pt>
                <c:pt idx="6">
                  <c:v>61</c:v>
                </c:pt>
                <c:pt idx="7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62-8245-88E2-6941D2DC2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6072960"/>
        <c:axId val="1713766400"/>
      </c:lineChart>
      <c:catAx>
        <c:axId val="183607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713766400"/>
        <c:crosses val="autoZero"/>
        <c:auto val="1"/>
        <c:lblAlgn val="ctr"/>
        <c:lblOffset val="100"/>
        <c:noMultiLvlLbl val="0"/>
      </c:catAx>
      <c:valAx>
        <c:axId val="171376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83607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Share of Units Sold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'30 100 Pct Stacked Line'!$B$4</c:f>
              <c:strCache>
                <c:ptCount val="1"/>
                <c:pt idx="0">
                  <c:v>Hardware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'30 100 Pct Stacked Line'!$A$5:$A$16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'30 100 Pct Stacked Line'!$B$5:$B$16</c:f>
              <c:numCache>
                <c:formatCode>General</c:formatCode>
                <c:ptCount val="12"/>
                <c:pt idx="0">
                  <c:v>210</c:v>
                </c:pt>
                <c:pt idx="1">
                  <c:v>225</c:v>
                </c:pt>
                <c:pt idx="2">
                  <c:v>248</c:v>
                </c:pt>
                <c:pt idx="3">
                  <c:v>233</c:v>
                </c:pt>
                <c:pt idx="4">
                  <c:v>261</c:v>
                </c:pt>
                <c:pt idx="5">
                  <c:v>287</c:v>
                </c:pt>
                <c:pt idx="6">
                  <c:v>302</c:v>
                </c:pt>
                <c:pt idx="7">
                  <c:v>294</c:v>
                </c:pt>
                <c:pt idx="8">
                  <c:v>318</c:v>
                </c:pt>
                <c:pt idx="9">
                  <c:v>341</c:v>
                </c:pt>
                <c:pt idx="10">
                  <c:v>366</c:v>
                </c:pt>
                <c:pt idx="11">
                  <c:v>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E0-124B-9DC0-68D2F57CD321}"/>
            </c:ext>
          </c:extLst>
        </c:ser>
        <c:ser>
          <c:idx val="1"/>
          <c:order val="1"/>
          <c:tx>
            <c:strRef>
              <c:f>'30 100 Pct Stacked Line'!$C$4</c:f>
              <c:strCache>
                <c:ptCount val="1"/>
                <c:pt idx="0">
                  <c:v>Furniture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'30 100 Pct Stacked Line'!$A$5:$A$16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'30 100 Pct Stacked Line'!$C$5:$C$16</c:f>
              <c:numCache>
                <c:formatCode>General</c:formatCode>
                <c:ptCount val="12"/>
                <c:pt idx="0">
                  <c:v>140</c:v>
                </c:pt>
                <c:pt idx="1">
                  <c:v>132</c:v>
                </c:pt>
                <c:pt idx="2">
                  <c:v>155</c:v>
                </c:pt>
                <c:pt idx="3">
                  <c:v>168</c:v>
                </c:pt>
                <c:pt idx="4">
                  <c:v>149</c:v>
                </c:pt>
                <c:pt idx="5">
                  <c:v>176</c:v>
                </c:pt>
                <c:pt idx="6">
                  <c:v>161</c:v>
                </c:pt>
                <c:pt idx="7">
                  <c:v>183</c:v>
                </c:pt>
                <c:pt idx="8">
                  <c:v>190</c:v>
                </c:pt>
                <c:pt idx="9">
                  <c:v>175</c:v>
                </c:pt>
                <c:pt idx="10">
                  <c:v>204</c:v>
                </c:pt>
                <c:pt idx="11">
                  <c:v>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E0-124B-9DC0-68D2F57CD321}"/>
            </c:ext>
          </c:extLst>
        </c:ser>
        <c:ser>
          <c:idx val="2"/>
          <c:order val="2"/>
          <c:tx>
            <c:strRef>
              <c:f>'30 100 Pct Stacked Line'!$D$4</c:f>
              <c:strCache>
                <c:ptCount val="1"/>
                <c:pt idx="0">
                  <c:v>Accessories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'30 100 Pct Stacked Line'!$A$5:$A$16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'30 100 Pct Stacked Line'!$D$5:$D$16</c:f>
              <c:numCache>
                <c:formatCode>General</c:formatCode>
                <c:ptCount val="12"/>
                <c:pt idx="0">
                  <c:v>320</c:v>
                </c:pt>
                <c:pt idx="1">
                  <c:v>345</c:v>
                </c:pt>
                <c:pt idx="2">
                  <c:v>301</c:v>
                </c:pt>
                <c:pt idx="3">
                  <c:v>378</c:v>
                </c:pt>
                <c:pt idx="4">
                  <c:v>392</c:v>
                </c:pt>
                <c:pt idx="5">
                  <c:v>410</c:v>
                </c:pt>
                <c:pt idx="6">
                  <c:v>455</c:v>
                </c:pt>
                <c:pt idx="7">
                  <c:v>438</c:v>
                </c:pt>
                <c:pt idx="8">
                  <c:v>472</c:v>
                </c:pt>
                <c:pt idx="9">
                  <c:v>501</c:v>
                </c:pt>
                <c:pt idx="10">
                  <c:v>530</c:v>
                </c:pt>
                <c:pt idx="11">
                  <c:v>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E0-124B-9DC0-68D2F57CD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4481664"/>
        <c:axId val="1714485248"/>
      </c:lineChart>
      <c:catAx>
        <c:axId val="171448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714485248"/>
        <c:crosses val="autoZero"/>
        <c:auto val="1"/>
        <c:lblAlgn val="ctr"/>
        <c:lblOffset val="100"/>
        <c:noMultiLvlLbl val="0"/>
      </c:catAx>
      <c:valAx>
        <c:axId val="171448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71448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Profile: Model A vs Model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'31 Radar Chart'!$B$4</c:f>
              <c:strCache>
                <c:ptCount val="1"/>
                <c:pt idx="0">
                  <c:v>Model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 Radar Chart'!$A$5:$A$10</c:f>
              <c:strCache>
                <c:ptCount val="6"/>
                <c:pt idx="0">
                  <c:v>Performance</c:v>
                </c:pt>
                <c:pt idx="1">
                  <c:v>Design</c:v>
                </c:pt>
                <c:pt idx="2">
                  <c:v>Battery Life</c:v>
                </c:pt>
                <c:pt idx="3">
                  <c:v>Price Value</c:v>
                </c:pt>
                <c:pt idx="4">
                  <c:v>Support</c:v>
                </c:pt>
                <c:pt idx="5">
                  <c:v>Reliability</c:v>
                </c:pt>
              </c:strCache>
            </c:strRef>
          </c:cat>
          <c:val>
            <c:numRef>
              <c:f>'31 Radar Chart'!$B$5:$B$10</c:f>
              <c:numCache>
                <c:formatCode>General</c:formatCode>
                <c:ptCount val="6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9</c:v>
                </c:pt>
                <c:pt idx="4">
                  <c:v>5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B4-994D-92CF-6CD6E0F2723D}"/>
            </c:ext>
          </c:extLst>
        </c:ser>
        <c:ser>
          <c:idx val="1"/>
          <c:order val="1"/>
          <c:tx>
            <c:strRef>
              <c:f>'31 Radar Chart'!$C$4</c:f>
              <c:strCache>
                <c:ptCount val="1"/>
                <c:pt idx="0">
                  <c:v>Model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 Radar Chart'!$A$5:$A$10</c:f>
              <c:strCache>
                <c:ptCount val="6"/>
                <c:pt idx="0">
                  <c:v>Performance</c:v>
                </c:pt>
                <c:pt idx="1">
                  <c:v>Design</c:v>
                </c:pt>
                <c:pt idx="2">
                  <c:v>Battery Life</c:v>
                </c:pt>
                <c:pt idx="3">
                  <c:v>Price Value</c:v>
                </c:pt>
                <c:pt idx="4">
                  <c:v>Support</c:v>
                </c:pt>
                <c:pt idx="5">
                  <c:v>Reliability</c:v>
                </c:pt>
              </c:strCache>
            </c:strRef>
          </c:cat>
          <c:val>
            <c:numRef>
              <c:f>'31 Radar Chart'!$C$5:$C$10</c:f>
              <c:numCache>
                <c:formatCode>General</c:formatCode>
                <c:ptCount val="6"/>
                <c:pt idx="0">
                  <c:v>6</c:v>
                </c:pt>
                <c:pt idx="1">
                  <c:v>9</c:v>
                </c:pt>
                <c:pt idx="2">
                  <c:v>8</c:v>
                </c:pt>
                <c:pt idx="3">
                  <c:v>5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B4-994D-92CF-6CD6E0F27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7946688"/>
        <c:axId val="1707948480"/>
      </c:radarChart>
      <c:catAx>
        <c:axId val="170794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707948480"/>
        <c:crosses val="autoZero"/>
        <c:auto val="1"/>
        <c:lblAlgn val="ctr"/>
        <c:lblOffset val="100"/>
        <c:noMultiLvlLbl val="0"/>
      </c:catAx>
      <c:valAx>
        <c:axId val="170794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70794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vs Costs by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'32 Customising Charts'!$B$4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'32 Customising Charts'!$A$5:$A$8</c:f>
              <c:strCache>
                <c:ptCount val="4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</c:strCache>
            </c:strRef>
          </c:cat>
          <c:val>
            <c:numRef>
              <c:f>'32 Customising Charts'!$B$5:$B$8</c:f>
              <c:numCache>
                <c:formatCode>[$$-409]#,##0</c:formatCode>
                <c:ptCount val="4"/>
                <c:pt idx="0">
                  <c:v>250000</c:v>
                </c:pt>
                <c:pt idx="1">
                  <c:v>269000</c:v>
                </c:pt>
                <c:pt idx="2">
                  <c:v>308000</c:v>
                </c:pt>
                <c:pt idx="3">
                  <c:v>328000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EF-B44E-B723-18BA777C40EC}"/>
            </c:ext>
          </c:extLst>
        </c:ser>
        <c:ser>
          <c:idx val="1"/>
          <c:order val="1"/>
          <c:tx>
            <c:strRef>
              <c:f>'32 Customising Charts'!$C$4</c:f>
              <c:strCache>
                <c:ptCount val="1"/>
                <c:pt idx="0">
                  <c:v>Costs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'32 Customising Charts'!$A$5:$A$8</c:f>
              <c:strCache>
                <c:ptCount val="4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</c:strCache>
            </c:strRef>
          </c:cat>
          <c:val>
            <c:numRef>
              <c:f>'32 Customising Charts'!$C$5:$C$8</c:f>
              <c:numCache>
                <c:formatCode>[$$-409]#,##0</c:formatCode>
                <c:ptCount val="4"/>
                <c:pt idx="0">
                  <c:v>182000</c:v>
                </c:pt>
                <c:pt idx="1">
                  <c:v>191000</c:v>
                </c:pt>
                <c:pt idx="2">
                  <c:v>205000</c:v>
                </c:pt>
                <c:pt idx="3">
                  <c:v>213000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EF-B44E-B723-18BA777C4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7961280"/>
        <c:axId val="1708000576"/>
      </c:barChart>
      <c:catAx>
        <c:axId val="170796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708000576"/>
        <c:crosses val="autoZero"/>
        <c:auto val="1"/>
        <c:lblAlgn val="ctr"/>
        <c:lblOffset val="100"/>
        <c:noMultiLvlLbl val="0"/>
      </c:catAx>
      <c:valAx>
        <c:axId val="170800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70796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11</xdr:col>
      <xdr:colOff>0</xdr:colOff>
      <xdr:row>23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ADF35E-A4EF-C5C3-9CFA-9DC48152BA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13</xdr:col>
      <xdr:colOff>0</xdr:colOff>
      <xdr:row>23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CDDBB6-E52F-6156-6E0E-10AA6BCD7D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13</xdr:col>
      <xdr:colOff>0</xdr:colOff>
      <xdr:row>23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0188BA-49B6-B357-2364-B6F99FC794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11</xdr:col>
      <xdr:colOff>0</xdr:colOff>
      <xdr:row>23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23260D-EA67-8A8D-92DE-85884EC724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13</xdr:col>
      <xdr:colOff>0</xdr:colOff>
      <xdr:row>23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6AE13F-9CE7-0C44-1DFE-DE3AEEA734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13</xdr:col>
      <xdr:colOff>0</xdr:colOff>
      <xdr:row>23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943956-2790-787D-14E2-611EB4E008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13</xdr:col>
      <xdr:colOff>0</xdr:colOff>
      <xdr:row>23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BCAB42-D4B7-09B7-7DD4-9860970D60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12</xdr:col>
      <xdr:colOff>0</xdr:colOff>
      <xdr:row>23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C5FBA2-3566-DEC2-3499-BE72AA78A5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12</xdr:col>
      <xdr:colOff>0</xdr:colOff>
      <xdr:row>23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F8E62D-6BE3-9D35-8D9C-4352DB31AF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F79B49D-F9F9-524C-8EF3-4F23D973CD1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2d810d0-7482-4ad5-950c-2d4b49ee3980&quot;"/>
  </we:properties>
  <we:bindings/>
  <we:snapshot xmlns:r="http://schemas.openxmlformats.org/officeDocument/2006/relationships"/>
</we:webextension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8E9DB-796F-BD4B-B8DE-F0CB3F659322}">
  <dimension ref="A1:D38"/>
  <sheetViews>
    <sheetView zoomScale="90" workbookViewId="0">
      <pane ySplit="4" topLeftCell="A5" activePane="bottomLeft" state="frozen"/>
      <selection pane="bottomLeft" activeCell="E2" sqref="E2"/>
    </sheetView>
  </sheetViews>
  <sheetFormatPr baseColWidth="10" defaultRowHeight="16" x14ac:dyDescent="0.2"/>
  <cols>
    <col min="1" max="1" width="20.33203125" customWidth="1"/>
    <col min="2" max="2" width="25.83203125" bestFit="1" customWidth="1"/>
    <col min="3" max="3" width="22.33203125" bestFit="1" customWidth="1"/>
    <col min="4" max="4" width="51.5" bestFit="1" customWidth="1"/>
  </cols>
  <sheetData>
    <row r="1" spans="1:4" ht="22" x14ac:dyDescent="0.3">
      <c r="A1" s="11" t="s">
        <v>138</v>
      </c>
    </row>
    <row r="2" spans="1:4" x14ac:dyDescent="0.2">
      <c r="A2" s="4" t="s">
        <v>571</v>
      </c>
    </row>
    <row r="4" spans="1:4" x14ac:dyDescent="0.2">
      <c r="A4" s="1" t="s">
        <v>572</v>
      </c>
      <c r="B4" s="1" t="s">
        <v>573</v>
      </c>
      <c r="C4" s="1" t="s">
        <v>574</v>
      </c>
      <c r="D4" s="1" t="s">
        <v>575</v>
      </c>
    </row>
    <row r="5" spans="1:4" x14ac:dyDescent="0.2">
      <c r="A5">
        <v>1</v>
      </c>
      <c r="B5" t="s">
        <v>139</v>
      </c>
      <c r="C5" t="s">
        <v>576</v>
      </c>
      <c r="D5" t="s">
        <v>577</v>
      </c>
    </row>
    <row r="6" spans="1:4" x14ac:dyDescent="0.2">
      <c r="A6">
        <v>2</v>
      </c>
      <c r="B6" t="s">
        <v>140</v>
      </c>
      <c r="C6" t="s">
        <v>578</v>
      </c>
      <c r="D6" t="s">
        <v>579</v>
      </c>
    </row>
    <row r="7" spans="1:4" x14ac:dyDescent="0.2">
      <c r="A7">
        <v>3</v>
      </c>
      <c r="B7" t="s">
        <v>580</v>
      </c>
      <c r="C7" t="s">
        <v>581</v>
      </c>
      <c r="D7" t="s">
        <v>582</v>
      </c>
    </row>
    <row r="8" spans="1:4" x14ac:dyDescent="0.2">
      <c r="A8">
        <v>4</v>
      </c>
      <c r="B8" t="s">
        <v>179</v>
      </c>
      <c r="C8" t="s">
        <v>583</v>
      </c>
      <c r="D8" t="s">
        <v>584</v>
      </c>
    </row>
    <row r="9" spans="1:4" x14ac:dyDescent="0.2">
      <c r="A9">
        <v>5</v>
      </c>
      <c r="B9" t="s">
        <v>142</v>
      </c>
      <c r="C9" t="s">
        <v>585</v>
      </c>
      <c r="D9" t="s">
        <v>586</v>
      </c>
    </row>
    <row r="10" spans="1:4" x14ac:dyDescent="0.2">
      <c r="A10">
        <v>6</v>
      </c>
      <c r="B10" t="s">
        <v>143</v>
      </c>
      <c r="C10" t="s">
        <v>587</v>
      </c>
      <c r="D10" t="s">
        <v>588</v>
      </c>
    </row>
    <row r="11" spans="1:4" x14ac:dyDescent="0.2">
      <c r="A11">
        <v>7</v>
      </c>
      <c r="B11" t="s">
        <v>241</v>
      </c>
      <c r="C11" t="s">
        <v>589</v>
      </c>
      <c r="D11" t="s">
        <v>590</v>
      </c>
    </row>
    <row r="12" spans="1:4" x14ac:dyDescent="0.2">
      <c r="A12">
        <v>8</v>
      </c>
      <c r="B12" t="s">
        <v>144</v>
      </c>
      <c r="C12" t="s">
        <v>591</v>
      </c>
      <c r="D12" t="s">
        <v>592</v>
      </c>
    </row>
    <row r="13" spans="1:4" x14ac:dyDescent="0.2">
      <c r="A13">
        <v>9</v>
      </c>
      <c r="B13" t="s">
        <v>280</v>
      </c>
      <c r="C13" t="s">
        <v>593</v>
      </c>
      <c r="D13" t="s">
        <v>594</v>
      </c>
    </row>
    <row r="14" spans="1:4" x14ac:dyDescent="0.2">
      <c r="A14">
        <v>10</v>
      </c>
      <c r="B14" t="s">
        <v>287</v>
      </c>
      <c r="C14" t="s">
        <v>595</v>
      </c>
      <c r="D14" t="s">
        <v>596</v>
      </c>
    </row>
    <row r="15" spans="1:4" x14ac:dyDescent="0.2">
      <c r="A15">
        <v>11</v>
      </c>
      <c r="B15" t="s">
        <v>307</v>
      </c>
      <c r="C15" t="s">
        <v>597</v>
      </c>
      <c r="D15" t="s">
        <v>598</v>
      </c>
    </row>
    <row r="16" spans="1:4" x14ac:dyDescent="0.2">
      <c r="A16">
        <v>12</v>
      </c>
      <c r="B16" t="s">
        <v>320</v>
      </c>
      <c r="C16" t="s">
        <v>599</v>
      </c>
      <c r="D16" t="s">
        <v>600</v>
      </c>
    </row>
    <row r="17" spans="1:4" x14ac:dyDescent="0.2">
      <c r="A17">
        <v>13</v>
      </c>
      <c r="B17" t="s">
        <v>342</v>
      </c>
      <c r="C17" t="s">
        <v>601</v>
      </c>
      <c r="D17" t="s">
        <v>602</v>
      </c>
    </row>
    <row r="18" spans="1:4" x14ac:dyDescent="0.2">
      <c r="A18">
        <v>14</v>
      </c>
      <c r="B18" t="s">
        <v>352</v>
      </c>
      <c r="C18" t="s">
        <v>603</v>
      </c>
      <c r="D18" t="s">
        <v>604</v>
      </c>
    </row>
    <row r="19" spans="1:4" x14ac:dyDescent="0.2">
      <c r="A19">
        <v>15</v>
      </c>
      <c r="B19" t="s">
        <v>358</v>
      </c>
      <c r="C19" t="s">
        <v>605</v>
      </c>
      <c r="D19" t="s">
        <v>606</v>
      </c>
    </row>
    <row r="20" spans="1:4" x14ac:dyDescent="0.2">
      <c r="A20">
        <v>16</v>
      </c>
      <c r="B20" t="s">
        <v>377</v>
      </c>
      <c r="C20" t="s">
        <v>607</v>
      </c>
      <c r="D20" t="s">
        <v>608</v>
      </c>
    </row>
    <row r="21" spans="1:4" x14ac:dyDescent="0.2">
      <c r="A21">
        <v>17</v>
      </c>
      <c r="B21" t="s">
        <v>410</v>
      </c>
      <c r="C21" t="s">
        <v>609</v>
      </c>
      <c r="D21" t="s">
        <v>610</v>
      </c>
    </row>
    <row r="22" spans="1:4" x14ac:dyDescent="0.2">
      <c r="A22">
        <v>18</v>
      </c>
      <c r="B22" t="s">
        <v>444</v>
      </c>
      <c r="C22" t="s">
        <v>611</v>
      </c>
      <c r="D22" t="s">
        <v>612</v>
      </c>
    </row>
    <row r="23" spans="1:4" x14ac:dyDescent="0.2">
      <c r="A23">
        <v>19</v>
      </c>
      <c r="B23" t="s">
        <v>463</v>
      </c>
      <c r="C23" t="s">
        <v>613</v>
      </c>
      <c r="D23" t="s">
        <v>614</v>
      </c>
    </row>
    <row r="24" spans="1:4" x14ac:dyDescent="0.2">
      <c r="A24">
        <v>20</v>
      </c>
      <c r="B24" t="s">
        <v>487</v>
      </c>
      <c r="C24" t="s">
        <v>615</v>
      </c>
      <c r="D24" t="s">
        <v>616</v>
      </c>
    </row>
    <row r="25" spans="1:4" x14ac:dyDescent="0.2">
      <c r="A25">
        <v>21</v>
      </c>
      <c r="B25" t="s">
        <v>502</v>
      </c>
      <c r="C25" t="s">
        <v>617</v>
      </c>
      <c r="D25" t="s">
        <v>618</v>
      </c>
    </row>
    <row r="26" spans="1:4" x14ac:dyDescent="0.2">
      <c r="A26">
        <v>22</v>
      </c>
      <c r="B26" t="s">
        <v>514</v>
      </c>
      <c r="C26" t="s">
        <v>619</v>
      </c>
      <c r="D26" t="s">
        <v>620</v>
      </c>
    </row>
    <row r="27" spans="1:4" x14ac:dyDescent="0.2">
      <c r="A27">
        <v>23</v>
      </c>
      <c r="B27" t="s">
        <v>543</v>
      </c>
      <c r="C27" t="s">
        <v>621</v>
      </c>
      <c r="D27" t="s">
        <v>622</v>
      </c>
    </row>
    <row r="28" spans="1:4" x14ac:dyDescent="0.2">
      <c r="A28">
        <v>24</v>
      </c>
      <c r="B28" t="s">
        <v>549</v>
      </c>
      <c r="C28" t="s">
        <v>623</v>
      </c>
      <c r="D28" t="s">
        <v>624</v>
      </c>
    </row>
    <row r="29" spans="1:4" x14ac:dyDescent="0.2">
      <c r="A29">
        <v>25</v>
      </c>
      <c r="B29" t="s">
        <v>551</v>
      </c>
      <c r="C29" t="s">
        <v>625</v>
      </c>
      <c r="D29" t="s">
        <v>626</v>
      </c>
    </row>
    <row r="30" spans="1:4" x14ac:dyDescent="0.2">
      <c r="A30">
        <v>26</v>
      </c>
      <c r="B30" t="s">
        <v>553</v>
      </c>
      <c r="C30" t="s">
        <v>627</v>
      </c>
      <c r="D30" t="s">
        <v>628</v>
      </c>
    </row>
    <row r="31" spans="1:4" x14ac:dyDescent="0.2">
      <c r="A31">
        <v>27</v>
      </c>
      <c r="B31" t="s">
        <v>559</v>
      </c>
      <c r="C31" t="s">
        <v>629</v>
      </c>
      <c r="D31" t="s">
        <v>630</v>
      </c>
    </row>
    <row r="32" spans="1:4" x14ac:dyDescent="0.2">
      <c r="A32">
        <v>28</v>
      </c>
      <c r="B32" t="s">
        <v>561</v>
      </c>
      <c r="C32" t="s">
        <v>631</v>
      </c>
      <c r="D32" t="s">
        <v>632</v>
      </c>
    </row>
    <row r="33" spans="1:4" x14ac:dyDescent="0.2">
      <c r="A33">
        <v>29</v>
      </c>
      <c r="B33" t="s">
        <v>563</v>
      </c>
      <c r="C33" t="s">
        <v>633</v>
      </c>
      <c r="D33" t="s">
        <v>634</v>
      </c>
    </row>
    <row r="34" spans="1:4" x14ac:dyDescent="0.2">
      <c r="A34">
        <v>30</v>
      </c>
      <c r="B34" t="s">
        <v>565</v>
      </c>
      <c r="C34" t="s">
        <v>635</v>
      </c>
      <c r="D34" t="s">
        <v>636</v>
      </c>
    </row>
    <row r="35" spans="1:4" x14ac:dyDescent="0.2">
      <c r="A35">
        <v>31</v>
      </c>
      <c r="B35" t="s">
        <v>567</v>
      </c>
      <c r="C35" t="s">
        <v>637</v>
      </c>
      <c r="D35" t="s">
        <v>638</v>
      </c>
    </row>
    <row r="36" spans="1:4" x14ac:dyDescent="0.2">
      <c r="A36">
        <v>32</v>
      </c>
      <c r="B36" t="s">
        <v>145</v>
      </c>
      <c r="C36" t="s">
        <v>639</v>
      </c>
      <c r="D36" t="s">
        <v>640</v>
      </c>
    </row>
    <row r="38" spans="1:4" x14ac:dyDescent="0.2">
      <c r="A38" s="6" t="s">
        <v>641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65F66-E847-5B4E-9D36-F9D51F7490C1}">
  <dimension ref="A1:G14"/>
  <sheetViews>
    <sheetView zoomScale="200" workbookViewId="0">
      <pane ySplit="4" topLeftCell="A5" activePane="bottomLeft" state="frozen"/>
      <selection pane="bottomLeft" activeCell="A5" sqref="A5:G14"/>
    </sheetView>
  </sheetViews>
  <sheetFormatPr baseColWidth="10" defaultRowHeight="16" x14ac:dyDescent="0.2"/>
  <cols>
    <col min="1" max="1" width="16.6640625" customWidth="1"/>
    <col min="2" max="2" width="10.83203125" bestFit="1" customWidth="1"/>
    <col min="3" max="3" width="6.83203125" bestFit="1" customWidth="1"/>
    <col min="4" max="4" width="12.1640625" bestFit="1" customWidth="1"/>
    <col min="5" max="5" width="5.5" bestFit="1" customWidth="1"/>
    <col min="6" max="6" width="9.1640625" bestFit="1" customWidth="1"/>
    <col min="7" max="7" width="9.83203125" bestFit="1" customWidth="1"/>
  </cols>
  <sheetData>
    <row r="1" spans="1:7" ht="19" x14ac:dyDescent="0.25">
      <c r="A1" s="12" t="s">
        <v>139</v>
      </c>
      <c r="B1" s="13"/>
      <c r="C1" s="13"/>
      <c r="D1" s="13"/>
      <c r="E1" s="13"/>
      <c r="F1" s="13"/>
      <c r="G1" s="13"/>
    </row>
    <row r="2" spans="1:7" x14ac:dyDescent="0.2">
      <c r="A2" s="14" t="s">
        <v>146</v>
      </c>
      <c r="B2" s="13"/>
      <c r="C2" s="13"/>
      <c r="D2" s="13"/>
      <c r="E2" s="13"/>
      <c r="F2" s="13"/>
      <c r="G2" s="13"/>
    </row>
    <row r="3" spans="1:7" x14ac:dyDescent="0.2">
      <c r="A3" s="13"/>
      <c r="B3" s="13"/>
      <c r="C3" s="13"/>
      <c r="D3" s="13"/>
      <c r="E3" s="13"/>
      <c r="F3" s="13"/>
      <c r="G3" s="13"/>
    </row>
    <row r="4" spans="1:7" x14ac:dyDescent="0.2">
      <c r="A4" s="15" t="s">
        <v>0</v>
      </c>
      <c r="B4" s="15" t="s">
        <v>1</v>
      </c>
      <c r="C4" s="15" t="s">
        <v>2</v>
      </c>
      <c r="D4" s="15" t="s">
        <v>3</v>
      </c>
      <c r="E4" s="15" t="s">
        <v>6</v>
      </c>
      <c r="F4" s="15" t="s">
        <v>7</v>
      </c>
      <c r="G4" s="15" t="s">
        <v>8</v>
      </c>
    </row>
    <row r="5" spans="1:7" x14ac:dyDescent="0.2">
      <c r="A5" s="13" t="s">
        <v>24</v>
      </c>
      <c r="B5" s="2">
        <f>DATE(2025,1,19)</f>
        <v>45676</v>
      </c>
      <c r="C5" s="13" t="s">
        <v>21</v>
      </c>
      <c r="D5" s="13" t="s">
        <v>22</v>
      </c>
      <c r="E5" s="13">
        <v>22</v>
      </c>
      <c r="F5" s="16">
        <v>48</v>
      </c>
      <c r="G5" s="16">
        <f>E5*F5</f>
        <v>1056</v>
      </c>
    </row>
    <row r="6" spans="1:7" x14ac:dyDescent="0.2">
      <c r="A6" s="13" t="s">
        <v>29</v>
      </c>
      <c r="B6" s="2">
        <f>DATE(2025,3,2)</f>
        <v>45718</v>
      </c>
      <c r="C6" s="13" t="s">
        <v>9</v>
      </c>
      <c r="D6" s="13" t="s">
        <v>10</v>
      </c>
      <c r="E6" s="13">
        <v>12</v>
      </c>
      <c r="F6" s="16">
        <v>145</v>
      </c>
      <c r="G6" s="16">
        <f>E6*F6</f>
        <v>1740</v>
      </c>
    </row>
    <row r="7" spans="1:7" x14ac:dyDescent="0.2">
      <c r="A7" s="13" t="s">
        <v>31</v>
      </c>
      <c r="B7" s="2">
        <f>DATE(2025,4,6)</f>
        <v>45753</v>
      </c>
      <c r="C7" s="13" t="s">
        <v>17</v>
      </c>
      <c r="D7" s="13" t="s">
        <v>26</v>
      </c>
      <c r="E7" s="13">
        <v>30</v>
      </c>
      <c r="F7" s="16">
        <v>62</v>
      </c>
      <c r="G7" s="16">
        <f>E7*F7</f>
        <v>1860</v>
      </c>
    </row>
    <row r="8" spans="1:7" x14ac:dyDescent="0.2">
      <c r="A8" s="13" t="s">
        <v>150</v>
      </c>
      <c r="B8" s="2">
        <f>DATE(2025,5,30)</f>
        <v>45807</v>
      </c>
      <c r="C8" s="13" t="s">
        <v>9</v>
      </c>
      <c r="D8" s="13" t="s">
        <v>14</v>
      </c>
      <c r="E8" s="13">
        <v>41</v>
      </c>
      <c r="F8" s="16">
        <v>24.5</v>
      </c>
      <c r="G8" s="16">
        <f>E8*F8</f>
        <v>1004.5</v>
      </c>
    </row>
    <row r="9" spans="1:7" x14ac:dyDescent="0.2">
      <c r="A9" s="13" t="s">
        <v>152</v>
      </c>
      <c r="B9" s="2">
        <f>DATE(2025,6,17)</f>
        <v>45825</v>
      </c>
      <c r="C9" s="13" t="s">
        <v>13</v>
      </c>
      <c r="D9" s="13" t="s">
        <v>18</v>
      </c>
      <c r="E9" s="13">
        <v>28</v>
      </c>
      <c r="F9" s="16">
        <v>39.9</v>
      </c>
      <c r="G9" s="16">
        <f>E9*F9</f>
        <v>1117.2</v>
      </c>
    </row>
    <row r="10" spans="1:7" x14ac:dyDescent="0.2">
      <c r="A10" s="13" t="s">
        <v>147</v>
      </c>
      <c r="B10" s="2">
        <f>DATE(2025,7,14)</f>
        <v>45852</v>
      </c>
      <c r="C10" s="13" t="s">
        <v>21</v>
      </c>
      <c r="D10" s="13" t="s">
        <v>18</v>
      </c>
      <c r="E10" s="13">
        <v>35</v>
      </c>
      <c r="F10" s="16">
        <v>24.5</v>
      </c>
      <c r="G10" s="16">
        <f>E10*F10</f>
        <v>857.5</v>
      </c>
    </row>
    <row r="11" spans="1:7" x14ac:dyDescent="0.2">
      <c r="A11" s="13" t="s">
        <v>153</v>
      </c>
      <c r="B11" s="2">
        <f>DATE(2025,8,25)</f>
        <v>45894</v>
      </c>
      <c r="C11" s="13" t="s">
        <v>9</v>
      </c>
      <c r="D11" s="13" t="s">
        <v>22</v>
      </c>
      <c r="E11" s="13">
        <v>9</v>
      </c>
      <c r="F11" s="16">
        <v>289</v>
      </c>
      <c r="G11" s="16">
        <f>E11*F11</f>
        <v>2601</v>
      </c>
    </row>
    <row r="12" spans="1:7" x14ac:dyDescent="0.2">
      <c r="A12" s="13" t="s">
        <v>149</v>
      </c>
      <c r="B12" s="2">
        <f>DATE(2025,9,8)</f>
        <v>45908</v>
      </c>
      <c r="C12" s="13" t="s">
        <v>13</v>
      </c>
      <c r="D12" s="13" t="s">
        <v>26</v>
      </c>
      <c r="E12" s="13">
        <v>15</v>
      </c>
      <c r="F12" s="16">
        <v>145</v>
      </c>
      <c r="G12" s="16">
        <f>E12*F12</f>
        <v>2175</v>
      </c>
    </row>
    <row r="13" spans="1:7" x14ac:dyDescent="0.2">
      <c r="A13" s="13" t="s">
        <v>148</v>
      </c>
      <c r="B13" s="2">
        <f>DATE(2025,11,21)</f>
        <v>45982</v>
      </c>
      <c r="C13" s="13" t="s">
        <v>17</v>
      </c>
      <c r="D13" s="13" t="s">
        <v>14</v>
      </c>
      <c r="E13" s="13">
        <v>7</v>
      </c>
      <c r="F13" s="16">
        <v>319</v>
      </c>
      <c r="G13" s="16">
        <f>E13*F13</f>
        <v>2233</v>
      </c>
    </row>
    <row r="14" spans="1:7" x14ac:dyDescent="0.2">
      <c r="A14" s="13" t="s">
        <v>151</v>
      </c>
      <c r="B14" s="2">
        <f>DATE(2025,12,11)</f>
        <v>46002</v>
      </c>
      <c r="C14" s="13" t="s">
        <v>17</v>
      </c>
      <c r="D14" s="13" t="s">
        <v>10</v>
      </c>
      <c r="E14" s="13">
        <v>6</v>
      </c>
      <c r="F14" s="16">
        <v>520</v>
      </c>
      <c r="G14" s="16">
        <f>E14*F14</f>
        <v>3120</v>
      </c>
    </row>
  </sheetData>
  <sortState xmlns:xlrd2="http://schemas.microsoft.com/office/spreadsheetml/2017/richdata2" ref="A5:G14">
    <sortCondition ref="B5:B1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AE3A4-0FC2-EB43-9DAD-252E41550113}">
  <dimension ref="A1:H16"/>
  <sheetViews>
    <sheetView zoomScale="172" workbookViewId="0">
      <pane ySplit="4" topLeftCell="A7" activePane="bottomLeft" state="frozen"/>
      <selection pane="bottomLeft" activeCell="J18" sqref="J18"/>
    </sheetView>
  </sheetViews>
  <sheetFormatPr baseColWidth="10" defaultRowHeight="16" x14ac:dyDescent="0.2"/>
  <cols>
    <col min="1" max="1" width="10.83203125" customWidth="1"/>
    <col min="2" max="2" width="10.5" bestFit="1" customWidth="1"/>
    <col min="3" max="3" width="6.83203125" bestFit="1" customWidth="1"/>
    <col min="4" max="4" width="9.1640625" bestFit="1" customWidth="1"/>
    <col min="5" max="5" width="7.6640625" bestFit="1" customWidth="1"/>
    <col min="6" max="6" width="12.1640625" bestFit="1" customWidth="1"/>
    <col min="7" max="7" width="6.1640625" bestFit="1" customWidth="1"/>
    <col min="8" max="8" width="9.83203125" bestFit="1" customWidth="1"/>
  </cols>
  <sheetData>
    <row r="1" spans="1:8" ht="19" x14ac:dyDescent="0.25">
      <c r="A1" s="12" t="s">
        <v>140</v>
      </c>
      <c r="B1" s="13"/>
      <c r="C1" s="13"/>
      <c r="D1" s="13"/>
      <c r="E1" s="13"/>
      <c r="F1" s="13"/>
      <c r="G1" s="13"/>
      <c r="H1" s="13"/>
    </row>
    <row r="2" spans="1:8" x14ac:dyDescent="0.2">
      <c r="A2" s="14" t="s">
        <v>154</v>
      </c>
      <c r="B2" s="13"/>
      <c r="C2" s="13"/>
      <c r="D2" s="13"/>
      <c r="E2" s="13"/>
      <c r="F2" s="13"/>
      <c r="G2" s="13"/>
      <c r="H2" s="13"/>
    </row>
    <row r="3" spans="1:8" x14ac:dyDescent="0.2">
      <c r="A3" s="13"/>
      <c r="B3" s="13"/>
      <c r="C3" s="13"/>
      <c r="D3" s="13"/>
      <c r="E3" s="13"/>
      <c r="F3" s="13"/>
      <c r="G3" s="13"/>
      <c r="H3" s="13"/>
    </row>
    <row r="4" spans="1:8" x14ac:dyDescent="0.2">
      <c r="A4" s="15" t="s">
        <v>155</v>
      </c>
      <c r="B4" s="15" t="s">
        <v>156</v>
      </c>
      <c r="C4" s="15" t="s">
        <v>2</v>
      </c>
      <c r="D4" s="15" t="s">
        <v>5</v>
      </c>
      <c r="E4" s="15" t="s">
        <v>157</v>
      </c>
      <c r="F4" s="15" t="s">
        <v>158</v>
      </c>
      <c r="G4" s="15" t="s">
        <v>159</v>
      </c>
      <c r="H4" s="15" t="s">
        <v>160</v>
      </c>
    </row>
    <row r="5" spans="1:8" x14ac:dyDescent="0.2">
      <c r="A5" s="13" t="s">
        <v>161</v>
      </c>
      <c r="B5" s="2">
        <f>DATE(2025,2,11)</f>
        <v>45699</v>
      </c>
      <c r="C5" s="13" t="s">
        <v>9</v>
      </c>
      <c r="D5" s="13" t="s">
        <v>12</v>
      </c>
      <c r="E5" s="13" t="s">
        <v>162</v>
      </c>
      <c r="F5" s="13" t="s">
        <v>10</v>
      </c>
      <c r="G5" s="5">
        <v>6.5</v>
      </c>
      <c r="H5" s="16">
        <f>G5*95</f>
        <v>617.5</v>
      </c>
    </row>
    <row r="6" spans="1:8" x14ac:dyDescent="0.2">
      <c r="A6" s="13" t="s">
        <v>163</v>
      </c>
      <c r="B6" s="2">
        <f>DATE(2025,2,14)</f>
        <v>45702</v>
      </c>
      <c r="C6" s="13" t="s">
        <v>13</v>
      </c>
      <c r="D6" s="13" t="s">
        <v>164</v>
      </c>
      <c r="E6" s="13" t="s">
        <v>165</v>
      </c>
      <c r="F6" s="13" t="s">
        <v>14</v>
      </c>
      <c r="G6" s="5">
        <v>2</v>
      </c>
      <c r="H6" s="16">
        <f>G6*95</f>
        <v>190</v>
      </c>
    </row>
    <row r="7" spans="1:8" x14ac:dyDescent="0.2">
      <c r="A7" s="13" t="s">
        <v>166</v>
      </c>
      <c r="B7" s="2">
        <f>DATE(2025,3,3)</f>
        <v>45719</v>
      </c>
      <c r="C7" s="13" t="s">
        <v>17</v>
      </c>
      <c r="D7" s="13" t="s">
        <v>167</v>
      </c>
      <c r="E7" s="13" t="s">
        <v>162</v>
      </c>
      <c r="F7" s="13" t="s">
        <v>18</v>
      </c>
      <c r="G7" s="5">
        <v>9</v>
      </c>
      <c r="H7" s="16">
        <f>G7*95</f>
        <v>855</v>
      </c>
    </row>
    <row r="8" spans="1:8" x14ac:dyDescent="0.2">
      <c r="A8" s="13" t="s">
        <v>168</v>
      </c>
      <c r="B8" s="2">
        <f>DATE(2025,3,19)</f>
        <v>45735</v>
      </c>
      <c r="C8" s="13" t="s">
        <v>21</v>
      </c>
      <c r="D8" s="13" t="s">
        <v>12</v>
      </c>
      <c r="E8" s="13" t="s">
        <v>169</v>
      </c>
      <c r="F8" s="13" t="s">
        <v>22</v>
      </c>
      <c r="G8" s="5">
        <v>4.5</v>
      </c>
      <c r="H8" s="16">
        <f>G8*95</f>
        <v>427.5</v>
      </c>
    </row>
    <row r="9" spans="1:8" x14ac:dyDescent="0.2">
      <c r="A9" s="13" t="s">
        <v>170</v>
      </c>
      <c r="B9" s="2">
        <f>DATE(2025,4,2)</f>
        <v>45749</v>
      </c>
      <c r="C9" s="13" t="s">
        <v>9</v>
      </c>
      <c r="D9" s="13" t="s">
        <v>164</v>
      </c>
      <c r="E9" s="13" t="s">
        <v>169</v>
      </c>
      <c r="F9" s="13" t="s">
        <v>26</v>
      </c>
      <c r="G9" s="5">
        <v>3</v>
      </c>
      <c r="H9" s="16">
        <f>G9*95</f>
        <v>285</v>
      </c>
    </row>
    <row r="10" spans="1:8" x14ac:dyDescent="0.2">
      <c r="A10" s="13" t="s">
        <v>171</v>
      </c>
      <c r="B10" s="2">
        <f>DATE(2025,4,22)</f>
        <v>45769</v>
      </c>
      <c r="C10" s="13" t="s">
        <v>13</v>
      </c>
      <c r="D10" s="13" t="s">
        <v>167</v>
      </c>
      <c r="E10" s="13" t="s">
        <v>162</v>
      </c>
      <c r="F10" s="13" t="s">
        <v>10</v>
      </c>
      <c r="G10" s="5">
        <v>11</v>
      </c>
      <c r="H10" s="16">
        <f>G10*95</f>
        <v>1045</v>
      </c>
    </row>
    <row r="11" spans="1:8" x14ac:dyDescent="0.2">
      <c r="A11" s="13" t="s">
        <v>172</v>
      </c>
      <c r="B11" s="2">
        <f>DATE(2025,5,7)</f>
        <v>45784</v>
      </c>
      <c r="C11" s="13" t="s">
        <v>17</v>
      </c>
      <c r="D11" s="13" t="s">
        <v>12</v>
      </c>
      <c r="E11" s="13" t="s">
        <v>165</v>
      </c>
      <c r="F11" s="13" t="s">
        <v>14</v>
      </c>
      <c r="G11" s="5">
        <v>1.5</v>
      </c>
      <c r="H11" s="16">
        <f>G11*95</f>
        <v>142.5</v>
      </c>
    </row>
    <row r="12" spans="1:8" x14ac:dyDescent="0.2">
      <c r="A12" s="13" t="s">
        <v>173</v>
      </c>
      <c r="B12" s="2">
        <f>DATE(2025,5,28)</f>
        <v>45805</v>
      </c>
      <c r="C12" s="13" t="s">
        <v>21</v>
      </c>
      <c r="D12" s="13" t="s">
        <v>164</v>
      </c>
      <c r="E12" s="13" t="s">
        <v>162</v>
      </c>
      <c r="F12" s="13" t="s">
        <v>18</v>
      </c>
      <c r="G12" s="5">
        <v>7.5</v>
      </c>
      <c r="H12" s="16">
        <f>G12*95</f>
        <v>712.5</v>
      </c>
    </row>
    <row r="13" spans="1:8" x14ac:dyDescent="0.2">
      <c r="A13" s="13" t="s">
        <v>174</v>
      </c>
      <c r="B13" s="2">
        <f>DATE(2025,6,9)</f>
        <v>45817</v>
      </c>
      <c r="C13" s="13" t="s">
        <v>9</v>
      </c>
      <c r="D13" s="13" t="s">
        <v>167</v>
      </c>
      <c r="E13" s="13" t="s">
        <v>169</v>
      </c>
      <c r="F13" s="13" t="s">
        <v>22</v>
      </c>
      <c r="G13" s="5">
        <v>5</v>
      </c>
      <c r="H13" s="16">
        <f>G13*95</f>
        <v>475</v>
      </c>
    </row>
    <row r="14" spans="1:8" x14ac:dyDescent="0.2">
      <c r="A14" s="13" t="s">
        <v>175</v>
      </c>
      <c r="B14" s="2">
        <f>DATE(2025,6,26)</f>
        <v>45834</v>
      </c>
      <c r="C14" s="13" t="s">
        <v>13</v>
      </c>
      <c r="D14" s="13" t="s">
        <v>12</v>
      </c>
      <c r="E14" s="13" t="s">
        <v>165</v>
      </c>
      <c r="F14" s="13" t="s">
        <v>26</v>
      </c>
      <c r="G14" s="5">
        <v>2.5</v>
      </c>
      <c r="H14" s="16">
        <f>G14*95</f>
        <v>237.5</v>
      </c>
    </row>
    <row r="15" spans="1:8" x14ac:dyDescent="0.2">
      <c r="A15" s="13" t="s">
        <v>176</v>
      </c>
      <c r="B15" s="2">
        <f>DATE(2025,7,15)</f>
        <v>45853</v>
      </c>
      <c r="C15" s="13" t="s">
        <v>17</v>
      </c>
      <c r="D15" s="13" t="s">
        <v>164</v>
      </c>
      <c r="E15" s="13" t="s">
        <v>162</v>
      </c>
      <c r="F15" s="13" t="s">
        <v>10</v>
      </c>
      <c r="G15" s="5">
        <v>8</v>
      </c>
      <c r="H15" s="16">
        <f>G15*95</f>
        <v>760</v>
      </c>
    </row>
    <row r="16" spans="1:8" x14ac:dyDescent="0.2">
      <c r="A16" s="13" t="s">
        <v>177</v>
      </c>
      <c r="B16" s="2">
        <f>DATE(2025,7,30)</f>
        <v>45868</v>
      </c>
      <c r="C16" s="13" t="s">
        <v>21</v>
      </c>
      <c r="D16" s="13" t="s">
        <v>167</v>
      </c>
      <c r="E16" s="13" t="s">
        <v>169</v>
      </c>
      <c r="F16" s="13" t="s">
        <v>14</v>
      </c>
      <c r="G16" s="5">
        <v>6</v>
      </c>
      <c r="H16" s="16">
        <f>G16*95</f>
        <v>570</v>
      </c>
    </row>
  </sheetData>
  <autoFilter ref="A4:H16" xr:uid="{88BAE3A4-0FC2-EB43-9DAD-252E4155011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0DABD-C9C2-8244-8D2B-2821A0377F61}">
  <dimension ref="A1:F14"/>
  <sheetViews>
    <sheetView zoomScale="200" workbookViewId="0">
      <pane ySplit="4" topLeftCell="A5" activePane="bottomLeft" state="frozen"/>
      <selection pane="bottomLeft" activeCell="G15" sqref="G15"/>
    </sheetView>
  </sheetViews>
  <sheetFormatPr baseColWidth="10" defaultRowHeight="16" x14ac:dyDescent="0.2"/>
  <cols>
    <col min="1" max="1" width="17.83203125" customWidth="1"/>
    <col min="2" max="2" width="12.5" bestFit="1" customWidth="1"/>
    <col min="3" max="3" width="11.1640625" bestFit="1" customWidth="1"/>
    <col min="4" max="4" width="8.5" bestFit="1" customWidth="1"/>
    <col min="5" max="5" width="10.5" bestFit="1" customWidth="1"/>
    <col min="6" max="6" width="8.33203125" bestFit="1" customWidth="1"/>
  </cols>
  <sheetData>
    <row r="1" spans="1:6" ht="19" x14ac:dyDescent="0.25">
      <c r="A1" s="12" t="s">
        <v>141</v>
      </c>
      <c r="B1" s="13"/>
      <c r="C1" s="13"/>
      <c r="D1" s="13"/>
      <c r="E1" s="13"/>
      <c r="F1" s="13"/>
    </row>
    <row r="2" spans="1:6" x14ac:dyDescent="0.2">
      <c r="A2" s="14" t="s">
        <v>178</v>
      </c>
      <c r="B2" s="13"/>
      <c r="C2" s="13"/>
      <c r="D2" s="13"/>
      <c r="E2" s="13"/>
      <c r="F2" s="13"/>
    </row>
    <row r="3" spans="1:6" x14ac:dyDescent="0.2">
      <c r="A3" s="13"/>
      <c r="B3" s="13"/>
      <c r="C3" s="13"/>
      <c r="D3" s="13"/>
      <c r="E3" s="13"/>
      <c r="F3" s="13"/>
    </row>
    <row r="4" spans="1:6" x14ac:dyDescent="0.2">
      <c r="A4" s="15" t="s">
        <v>32</v>
      </c>
      <c r="B4" s="15" t="s">
        <v>33</v>
      </c>
      <c r="C4" s="15" t="s">
        <v>34</v>
      </c>
      <c r="D4" s="15" t="s">
        <v>35</v>
      </c>
      <c r="E4" s="15" t="s">
        <v>36</v>
      </c>
      <c r="F4" s="15" t="s">
        <v>37</v>
      </c>
    </row>
    <row r="5" spans="1:6" x14ac:dyDescent="0.2">
      <c r="A5" s="13" t="s">
        <v>38</v>
      </c>
      <c r="B5" s="13" t="s">
        <v>39</v>
      </c>
      <c r="C5" s="13" t="s">
        <v>40</v>
      </c>
      <c r="D5" s="13" t="s">
        <v>41</v>
      </c>
      <c r="E5" s="2">
        <f>DATE(2021,3,15)</f>
        <v>44270</v>
      </c>
      <c r="F5" s="17">
        <v>54000</v>
      </c>
    </row>
    <row r="6" spans="1:6" x14ac:dyDescent="0.2">
      <c r="A6" s="13" t="s">
        <v>42</v>
      </c>
      <c r="B6" s="13" t="s">
        <v>43</v>
      </c>
      <c r="C6" s="13" t="s">
        <v>44</v>
      </c>
      <c r="D6" s="13" t="s">
        <v>45</v>
      </c>
      <c r="E6" s="2">
        <f>DATE(2020,7,1)</f>
        <v>44013</v>
      </c>
      <c r="F6" s="17">
        <v>49500</v>
      </c>
    </row>
    <row r="7" spans="1:6" x14ac:dyDescent="0.2">
      <c r="A7" s="13" t="s">
        <v>46</v>
      </c>
      <c r="B7" s="13" t="s">
        <v>47</v>
      </c>
      <c r="C7" s="13" t="s">
        <v>48</v>
      </c>
      <c r="D7" s="13" t="s">
        <v>49</v>
      </c>
      <c r="E7" s="2">
        <f>DATE(2019,11,4)</f>
        <v>43773</v>
      </c>
      <c r="F7" s="17">
        <v>62000</v>
      </c>
    </row>
    <row r="8" spans="1:6" x14ac:dyDescent="0.2">
      <c r="A8" s="13" t="s">
        <v>50</v>
      </c>
      <c r="B8" s="13" t="s">
        <v>51</v>
      </c>
      <c r="C8" s="13" t="s">
        <v>40</v>
      </c>
      <c r="D8" s="13" t="s">
        <v>41</v>
      </c>
      <c r="E8" s="2">
        <f>DATE(2022,1,10)</f>
        <v>44571</v>
      </c>
      <c r="F8" s="17">
        <v>51000</v>
      </c>
    </row>
    <row r="9" spans="1:6" x14ac:dyDescent="0.2">
      <c r="A9" s="13" t="s">
        <v>52</v>
      </c>
      <c r="B9" s="13" t="s">
        <v>53</v>
      </c>
      <c r="C9" s="13" t="s">
        <v>54</v>
      </c>
      <c r="D9" s="13" t="s">
        <v>55</v>
      </c>
      <c r="E9" s="2">
        <f>DATE(2018,4,23)</f>
        <v>43213</v>
      </c>
      <c r="F9" s="17">
        <v>68000</v>
      </c>
    </row>
    <row r="10" spans="1:6" x14ac:dyDescent="0.2">
      <c r="A10" s="13" t="s">
        <v>56</v>
      </c>
      <c r="B10" s="13" t="s">
        <v>57</v>
      </c>
      <c r="C10" s="13" t="s">
        <v>54</v>
      </c>
      <c r="D10" s="13" t="s">
        <v>41</v>
      </c>
      <c r="E10" s="2">
        <f>DATE(2023,3,6)</f>
        <v>44991</v>
      </c>
      <c r="F10" s="17">
        <v>57000</v>
      </c>
    </row>
    <row r="11" spans="1:6" x14ac:dyDescent="0.2">
      <c r="A11" s="13" t="s">
        <v>58</v>
      </c>
      <c r="B11" s="13" t="s">
        <v>59</v>
      </c>
      <c r="C11" s="13" t="s">
        <v>48</v>
      </c>
      <c r="D11" s="13" t="s">
        <v>45</v>
      </c>
      <c r="E11" s="2">
        <f>DATE(2021,9,20)</f>
        <v>44459</v>
      </c>
      <c r="F11" s="17">
        <v>60500</v>
      </c>
    </row>
    <row r="12" spans="1:6" x14ac:dyDescent="0.2">
      <c r="A12" s="13" t="s">
        <v>60</v>
      </c>
      <c r="B12" s="13" t="s">
        <v>61</v>
      </c>
      <c r="C12" s="13" t="s">
        <v>62</v>
      </c>
      <c r="D12" s="13" t="s">
        <v>49</v>
      </c>
      <c r="E12" s="2">
        <f>DATE(2017,8,14)</f>
        <v>42961</v>
      </c>
      <c r="F12" s="17">
        <v>47000</v>
      </c>
    </row>
    <row r="13" spans="1:6" x14ac:dyDescent="0.2">
      <c r="A13" s="13" t="s">
        <v>63</v>
      </c>
      <c r="B13" s="13" t="s">
        <v>64</v>
      </c>
      <c r="C13" s="13" t="s">
        <v>44</v>
      </c>
      <c r="D13" s="13" t="s">
        <v>55</v>
      </c>
      <c r="E13" s="2">
        <f>DATE(2022,6,27)</f>
        <v>44739</v>
      </c>
      <c r="F13" s="17">
        <v>52500</v>
      </c>
    </row>
    <row r="14" spans="1:6" x14ac:dyDescent="0.2">
      <c r="A14" s="13" t="s">
        <v>65</v>
      </c>
      <c r="B14" s="13" t="s">
        <v>66</v>
      </c>
      <c r="C14" s="13" t="s">
        <v>62</v>
      </c>
      <c r="D14" s="13" t="s">
        <v>41</v>
      </c>
      <c r="E14" s="2">
        <f>DATE(2020,9,12)</f>
        <v>44086</v>
      </c>
      <c r="F14" s="17">
        <v>48000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44536-0859-BB49-8412-D97421374E5B}">
  <dimension ref="A1:F14"/>
  <sheetViews>
    <sheetView zoomScale="160" zoomScaleNormal="160" workbookViewId="0">
      <pane ySplit="4" topLeftCell="A5" activePane="bottomLeft" state="frozen"/>
      <selection pane="bottomLeft" activeCell="E17" sqref="E17"/>
    </sheetView>
  </sheetViews>
  <sheetFormatPr baseColWidth="10" defaultRowHeight="16" x14ac:dyDescent="0.2"/>
  <cols>
    <col min="1" max="1" width="24.5" customWidth="1"/>
    <col min="3" max="4" width="8.1640625" bestFit="1" customWidth="1"/>
    <col min="5" max="5" width="9.83203125" bestFit="1" customWidth="1"/>
    <col min="6" max="6" width="8.33203125" bestFit="1" customWidth="1"/>
  </cols>
  <sheetData>
    <row r="1" spans="1:6" ht="19" x14ac:dyDescent="0.25">
      <c r="A1" s="12" t="s">
        <v>179</v>
      </c>
      <c r="B1" s="13"/>
      <c r="C1" s="13"/>
      <c r="D1" s="13"/>
      <c r="E1" s="13"/>
      <c r="F1" s="13"/>
    </row>
    <row r="2" spans="1:6" x14ac:dyDescent="0.2">
      <c r="A2" s="14" t="s">
        <v>180</v>
      </c>
      <c r="B2" s="13"/>
      <c r="C2" s="13"/>
      <c r="D2" s="13"/>
      <c r="E2" s="13"/>
      <c r="F2" s="13"/>
    </row>
    <row r="3" spans="1:6" x14ac:dyDescent="0.2">
      <c r="A3" s="13"/>
      <c r="B3" s="13"/>
      <c r="C3" s="13"/>
      <c r="D3" s="13"/>
      <c r="E3" s="13"/>
      <c r="F3" s="13"/>
    </row>
    <row r="4" spans="1:6" x14ac:dyDescent="0.2">
      <c r="A4" s="15" t="s">
        <v>4</v>
      </c>
      <c r="B4" s="15" t="s">
        <v>5</v>
      </c>
      <c r="C4" s="15" t="s">
        <v>181</v>
      </c>
      <c r="D4" s="15" t="s">
        <v>182</v>
      </c>
      <c r="E4" s="15" t="s">
        <v>183</v>
      </c>
      <c r="F4" s="15" t="s">
        <v>8</v>
      </c>
    </row>
    <row r="5" spans="1:6" x14ac:dyDescent="0.2">
      <c r="A5" s="13" t="s">
        <v>11</v>
      </c>
      <c r="B5" s="13" t="s">
        <v>12</v>
      </c>
      <c r="C5" s="13">
        <v>120</v>
      </c>
      <c r="D5" s="13">
        <v>145</v>
      </c>
      <c r="E5" s="13">
        <f>C5+D5</f>
        <v>265</v>
      </c>
      <c r="F5" s="17">
        <f>E5*289</f>
        <v>76585</v>
      </c>
    </row>
    <row r="6" spans="1:6" x14ac:dyDescent="0.2">
      <c r="A6" s="13" t="s">
        <v>15</v>
      </c>
      <c r="B6" s="13" t="s">
        <v>16</v>
      </c>
      <c r="C6" s="13">
        <v>210</v>
      </c>
      <c r="D6" s="13">
        <v>188</v>
      </c>
      <c r="E6" s="13">
        <f>C6+D6</f>
        <v>398</v>
      </c>
      <c r="F6" s="17">
        <f>E6*145</f>
        <v>57710</v>
      </c>
    </row>
    <row r="7" spans="1:6" x14ac:dyDescent="0.2">
      <c r="A7" s="13" t="s">
        <v>19</v>
      </c>
      <c r="B7" s="13" t="s">
        <v>20</v>
      </c>
      <c r="C7" s="13">
        <v>430</v>
      </c>
      <c r="D7" s="13">
        <v>505</v>
      </c>
      <c r="E7" s="13">
        <f>C7+D7</f>
        <v>935</v>
      </c>
      <c r="F7" s="17">
        <f>E7*24.5</f>
        <v>22907.5</v>
      </c>
    </row>
    <row r="8" spans="1:6" x14ac:dyDescent="0.2">
      <c r="A8" s="13" t="s">
        <v>23</v>
      </c>
      <c r="B8" s="13" t="s">
        <v>16</v>
      </c>
      <c r="C8" s="13">
        <v>64</v>
      </c>
      <c r="D8" s="13">
        <v>79</v>
      </c>
      <c r="E8" s="13">
        <f>C8+D8</f>
        <v>143</v>
      </c>
      <c r="F8" s="17">
        <f>E8*520</f>
        <v>74360</v>
      </c>
    </row>
    <row r="9" spans="1:6" x14ac:dyDescent="0.2">
      <c r="A9" s="13" t="s">
        <v>25</v>
      </c>
      <c r="B9" s="13" t="s">
        <v>20</v>
      </c>
      <c r="C9" s="13">
        <v>280</v>
      </c>
      <c r="D9" s="13">
        <v>312</v>
      </c>
      <c r="E9" s="13">
        <f>C9+D9</f>
        <v>592</v>
      </c>
      <c r="F9" s="17">
        <f>E9*39.9</f>
        <v>23620.799999999999</v>
      </c>
    </row>
    <row r="10" spans="1:6" x14ac:dyDescent="0.2">
      <c r="A10" s="13" t="s">
        <v>27</v>
      </c>
      <c r="B10" s="13" t="s">
        <v>12</v>
      </c>
      <c r="C10" s="13">
        <v>96</v>
      </c>
      <c r="D10" s="13">
        <v>110</v>
      </c>
      <c r="E10" s="13">
        <f>C10+D10</f>
        <v>206</v>
      </c>
      <c r="F10" s="17">
        <f>E10*319</f>
        <v>65714</v>
      </c>
    </row>
    <row r="11" spans="1:6" x14ac:dyDescent="0.2">
      <c r="A11" s="13" t="s">
        <v>28</v>
      </c>
      <c r="B11" s="13" t="s">
        <v>16</v>
      </c>
      <c r="C11" s="13">
        <v>175</v>
      </c>
      <c r="D11" s="13">
        <v>203</v>
      </c>
      <c r="E11" s="13">
        <f>C11+D11</f>
        <v>378</v>
      </c>
      <c r="F11" s="17">
        <f>E11*48</f>
        <v>18144</v>
      </c>
    </row>
    <row r="12" spans="1:6" x14ac:dyDescent="0.2">
      <c r="A12" s="13" t="s">
        <v>30</v>
      </c>
      <c r="B12" s="13" t="s">
        <v>20</v>
      </c>
      <c r="C12" s="13">
        <v>245</v>
      </c>
      <c r="D12" s="13">
        <v>268</v>
      </c>
      <c r="E12" s="13">
        <f>C12+D12</f>
        <v>513</v>
      </c>
      <c r="F12" s="17">
        <f>E12*62</f>
        <v>31806</v>
      </c>
    </row>
    <row r="13" spans="1:6" x14ac:dyDescent="0.2">
      <c r="A13" s="13" t="s">
        <v>184</v>
      </c>
      <c r="B13" s="13" t="s">
        <v>12</v>
      </c>
      <c r="C13" s="13">
        <v>138</v>
      </c>
      <c r="D13" s="13">
        <v>151</v>
      </c>
      <c r="E13" s="13">
        <f>C13+D13</f>
        <v>289</v>
      </c>
      <c r="F13" s="17">
        <f>E13*80</f>
        <v>23120</v>
      </c>
    </row>
    <row r="14" spans="1:6" x14ac:dyDescent="0.2">
      <c r="A14" s="13" t="s">
        <v>185</v>
      </c>
      <c r="B14" s="13" t="s">
        <v>16</v>
      </c>
      <c r="C14" s="13">
        <v>58</v>
      </c>
      <c r="D14" s="13">
        <v>47</v>
      </c>
      <c r="E14" s="13">
        <f>C14+D14</f>
        <v>105</v>
      </c>
      <c r="F14" s="17">
        <f>E14*250</f>
        <v>26250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78BA1-55F9-2D4C-B1E7-D16B6952C049}">
  <dimension ref="A1:E16"/>
  <sheetViews>
    <sheetView zoomScale="144" workbookViewId="0">
      <pane ySplit="4" topLeftCell="A5" activePane="bottomLeft" state="frozen"/>
      <selection pane="bottomLeft" activeCell="G25" sqref="G25"/>
    </sheetView>
  </sheetViews>
  <sheetFormatPr baseColWidth="10" defaultRowHeight="16" x14ac:dyDescent="0.2"/>
  <cols>
    <col min="1" max="1" width="44.83203125" customWidth="1"/>
    <col min="2" max="2" width="14.6640625" bestFit="1" customWidth="1"/>
    <col min="3" max="3" width="10.5" bestFit="1" customWidth="1"/>
    <col min="4" max="4" width="5.1640625" bestFit="1" customWidth="1"/>
    <col min="5" max="5" width="12.5" bestFit="1" customWidth="1"/>
  </cols>
  <sheetData>
    <row r="1" spans="1:5" ht="19" x14ac:dyDescent="0.25">
      <c r="A1" s="12" t="s">
        <v>142</v>
      </c>
      <c r="B1" s="13"/>
      <c r="C1" s="13"/>
      <c r="D1" s="13"/>
      <c r="E1" s="13"/>
    </row>
    <row r="2" spans="1:5" x14ac:dyDescent="0.2">
      <c r="A2" s="14" t="s">
        <v>186</v>
      </c>
      <c r="B2" s="13"/>
      <c r="C2" s="13"/>
      <c r="D2" s="13"/>
      <c r="E2" s="13"/>
    </row>
    <row r="3" spans="1:5" x14ac:dyDescent="0.2">
      <c r="A3" s="13"/>
      <c r="B3" s="13"/>
      <c r="C3" s="13"/>
      <c r="D3" s="13"/>
      <c r="E3" s="13"/>
    </row>
    <row r="4" spans="1:5" x14ac:dyDescent="0.2">
      <c r="A4" s="15" t="s">
        <v>187</v>
      </c>
      <c r="B4" s="15" t="s">
        <v>35</v>
      </c>
      <c r="C4" s="15" t="s">
        <v>188</v>
      </c>
      <c r="D4" s="15" t="s">
        <v>189</v>
      </c>
      <c r="E4" s="15" t="s">
        <v>190</v>
      </c>
    </row>
    <row r="5" spans="1:5" x14ac:dyDescent="0.2">
      <c r="A5" s="13" t="s">
        <v>191</v>
      </c>
      <c r="B5" s="13" t="s">
        <v>192</v>
      </c>
      <c r="C5" s="2">
        <f>DATE(2019,5,2)</f>
        <v>43587</v>
      </c>
      <c r="D5" s="13">
        <v>14</v>
      </c>
      <c r="E5" s="17">
        <v>182000</v>
      </c>
    </row>
    <row r="6" spans="1:5" x14ac:dyDescent="0.2">
      <c r="A6" s="13" t="s">
        <v>193</v>
      </c>
      <c r="B6" s="13" t="s">
        <v>194</v>
      </c>
      <c r="C6" s="2">
        <f>DATE(2020,2,17)</f>
        <v>43878</v>
      </c>
      <c r="D6" s="13">
        <v>11</v>
      </c>
      <c r="E6" s="17">
        <v>164000</v>
      </c>
    </row>
    <row r="7" spans="1:5" x14ac:dyDescent="0.2">
      <c r="A7" s="13" t="s">
        <v>195</v>
      </c>
      <c r="B7" s="13" t="s">
        <v>196</v>
      </c>
      <c r="C7" s="2">
        <f>DATE(2018,9,30)</f>
        <v>43373</v>
      </c>
      <c r="D7" s="13">
        <v>9</v>
      </c>
      <c r="E7" s="17">
        <v>138000</v>
      </c>
    </row>
    <row r="8" spans="1:5" x14ac:dyDescent="0.2">
      <c r="A8" s="13" t="s">
        <v>197</v>
      </c>
      <c r="B8" s="13" t="s">
        <v>198</v>
      </c>
      <c r="C8" s="2">
        <f>DATE(2021,6,11)</f>
        <v>44358</v>
      </c>
      <c r="D8" s="13">
        <v>12</v>
      </c>
      <c r="E8" s="17">
        <v>151000</v>
      </c>
    </row>
    <row r="9" spans="1:5" x14ac:dyDescent="0.2">
      <c r="A9" s="13" t="s">
        <v>199</v>
      </c>
      <c r="B9" s="13" t="s">
        <v>200</v>
      </c>
      <c r="C9" s="2">
        <f>DATE(2017,3,8)</f>
        <v>42802</v>
      </c>
      <c r="D9" s="13">
        <v>16</v>
      </c>
      <c r="E9" s="17">
        <v>205000</v>
      </c>
    </row>
    <row r="10" spans="1:5" x14ac:dyDescent="0.2">
      <c r="A10" s="13" t="s">
        <v>201</v>
      </c>
      <c r="B10" s="13" t="s">
        <v>202</v>
      </c>
      <c r="C10" s="2">
        <f>DATE(2022,1,24)</f>
        <v>44585</v>
      </c>
      <c r="D10" s="13">
        <v>8</v>
      </c>
      <c r="E10" s="17">
        <v>119000</v>
      </c>
    </row>
    <row r="11" spans="1:5" x14ac:dyDescent="0.2">
      <c r="A11" s="13" t="s">
        <v>203</v>
      </c>
      <c r="B11" s="13" t="s">
        <v>204</v>
      </c>
      <c r="C11" s="2">
        <f>DATE(2020,11,5)</f>
        <v>44140</v>
      </c>
      <c r="D11" s="13">
        <v>10</v>
      </c>
      <c r="E11" s="17">
        <v>127000</v>
      </c>
    </row>
    <row r="12" spans="1:5" x14ac:dyDescent="0.2">
      <c r="A12" s="13" t="s">
        <v>205</v>
      </c>
      <c r="B12" s="13" t="s">
        <v>206</v>
      </c>
      <c r="C12" s="2">
        <f>DATE(2019,8,19)</f>
        <v>43696</v>
      </c>
      <c r="D12" s="13">
        <v>7</v>
      </c>
      <c r="E12" s="17">
        <v>98000</v>
      </c>
    </row>
    <row r="13" spans="1:5" x14ac:dyDescent="0.2">
      <c r="A13" s="18" t="s">
        <v>207</v>
      </c>
      <c r="B13" s="13"/>
      <c r="C13" s="13"/>
      <c r="D13" s="13"/>
      <c r="E13" s="13"/>
    </row>
    <row r="14" spans="1:5" x14ac:dyDescent="0.2">
      <c r="A14" s="13" t="s">
        <v>208</v>
      </c>
      <c r="B14" s="13" t="s">
        <v>209</v>
      </c>
      <c r="C14" s="2">
        <f>DATE(2023,4,3)</f>
        <v>45019</v>
      </c>
      <c r="D14" s="13">
        <v>6</v>
      </c>
      <c r="E14" s="17">
        <v>86000</v>
      </c>
    </row>
    <row r="15" spans="1:5" x14ac:dyDescent="0.2">
      <c r="A15" s="13" t="s">
        <v>210</v>
      </c>
      <c r="B15" s="13" t="s">
        <v>211</v>
      </c>
      <c r="C15" s="2">
        <f>DATE(2023,10,16)</f>
        <v>45215</v>
      </c>
      <c r="D15" s="13">
        <v>9</v>
      </c>
      <c r="E15" s="17">
        <v>112000</v>
      </c>
    </row>
    <row r="16" spans="1:5" x14ac:dyDescent="0.2">
      <c r="A16" s="13" t="s">
        <v>212</v>
      </c>
      <c r="B16" s="13" t="s">
        <v>213</v>
      </c>
      <c r="C16" s="2">
        <f>DATE(2024,2,28)</f>
        <v>45350</v>
      </c>
      <c r="D16" s="13">
        <v>8</v>
      </c>
      <c r="E16" s="17">
        <v>104000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9E352-4D1F-694B-879C-0DD0C237FE89}">
  <dimension ref="A1:E16"/>
  <sheetViews>
    <sheetView zoomScale="174" workbookViewId="0">
      <pane ySplit="4" topLeftCell="A5" activePane="bottomLeft" state="frozen"/>
      <selection pane="bottomLeft" activeCell="F17" sqref="F17"/>
    </sheetView>
  </sheetViews>
  <sheetFormatPr baseColWidth="10" defaultRowHeight="16" x14ac:dyDescent="0.2"/>
  <cols>
    <col min="1" max="1" width="26.5" customWidth="1"/>
    <col min="2" max="2" width="12.5" bestFit="1" customWidth="1"/>
    <col min="3" max="3" width="25" bestFit="1" customWidth="1"/>
    <col min="4" max="4" width="8.5" bestFit="1" customWidth="1"/>
    <col min="5" max="5" width="10.5" bestFit="1" customWidth="1"/>
  </cols>
  <sheetData>
    <row r="1" spans="1:5" ht="19" x14ac:dyDescent="0.25">
      <c r="A1" s="3" t="s">
        <v>143</v>
      </c>
    </row>
    <row r="2" spans="1:5" x14ac:dyDescent="0.2">
      <c r="A2" s="4" t="s">
        <v>214</v>
      </c>
    </row>
    <row r="4" spans="1:5" x14ac:dyDescent="0.2">
      <c r="A4" s="1" t="s">
        <v>215</v>
      </c>
      <c r="B4" s="1" t="s">
        <v>216</v>
      </c>
      <c r="C4" s="1" t="s">
        <v>217</v>
      </c>
      <c r="D4" s="1" t="s">
        <v>218</v>
      </c>
      <c r="E4" s="1" t="s">
        <v>219</v>
      </c>
    </row>
    <row r="5" spans="1:5" x14ac:dyDescent="0.2">
      <c r="A5" t="s">
        <v>220</v>
      </c>
      <c r="B5" t="s">
        <v>39</v>
      </c>
      <c r="C5" t="s">
        <v>221</v>
      </c>
      <c r="D5" t="s">
        <v>222</v>
      </c>
      <c r="E5" s="2">
        <f>DATE(2024,1,12)</f>
        <v>45303</v>
      </c>
    </row>
    <row r="6" spans="1:5" x14ac:dyDescent="0.2">
      <c r="A6" t="s">
        <v>223</v>
      </c>
      <c r="B6" t="s">
        <v>43</v>
      </c>
      <c r="C6" t="s">
        <v>224</v>
      </c>
      <c r="D6" t="s">
        <v>225</v>
      </c>
      <c r="E6" s="2">
        <f>DATE(2024,2,3)</f>
        <v>45325</v>
      </c>
    </row>
    <row r="7" spans="1:5" x14ac:dyDescent="0.2">
      <c r="A7" t="s">
        <v>226</v>
      </c>
      <c r="B7" t="s">
        <v>47</v>
      </c>
      <c r="C7" t="s">
        <v>227</v>
      </c>
      <c r="D7" t="s">
        <v>222</v>
      </c>
      <c r="E7" s="2">
        <f>DATE(2024,2,21)</f>
        <v>45343</v>
      </c>
    </row>
    <row r="8" spans="1:5" x14ac:dyDescent="0.2">
      <c r="A8" t="s">
        <v>223</v>
      </c>
      <c r="B8" t="s">
        <v>43</v>
      </c>
      <c r="C8" t="s">
        <v>224</v>
      </c>
      <c r="D8" t="s">
        <v>225</v>
      </c>
      <c r="E8" s="2">
        <f>DATE(2024,2,3)</f>
        <v>45325</v>
      </c>
    </row>
    <row r="9" spans="1:5" x14ac:dyDescent="0.2">
      <c r="A9" t="s">
        <v>228</v>
      </c>
      <c r="B9" t="s">
        <v>51</v>
      </c>
      <c r="C9" t="s">
        <v>229</v>
      </c>
      <c r="D9" t="s">
        <v>230</v>
      </c>
      <c r="E9" s="2">
        <f>DATE(2024,3,9)</f>
        <v>45360</v>
      </c>
    </row>
    <row r="10" spans="1:5" x14ac:dyDescent="0.2">
      <c r="A10" t="s">
        <v>231</v>
      </c>
      <c r="B10" t="s">
        <v>53</v>
      </c>
      <c r="C10" t="s">
        <v>232</v>
      </c>
      <c r="D10" t="s">
        <v>225</v>
      </c>
      <c r="E10" s="2">
        <f>DATE(2024,3,27)</f>
        <v>45378</v>
      </c>
    </row>
    <row r="11" spans="1:5" x14ac:dyDescent="0.2">
      <c r="A11" t="s">
        <v>233</v>
      </c>
      <c r="B11" t="s">
        <v>57</v>
      </c>
      <c r="C11" t="s">
        <v>234</v>
      </c>
      <c r="D11" t="s">
        <v>222</v>
      </c>
      <c r="E11" s="2">
        <f>DATE(2024,4,15)</f>
        <v>45397</v>
      </c>
    </row>
    <row r="12" spans="1:5" x14ac:dyDescent="0.2">
      <c r="A12" t="s">
        <v>226</v>
      </c>
      <c r="B12" t="s">
        <v>47</v>
      </c>
      <c r="C12" t="s">
        <v>227</v>
      </c>
      <c r="D12" t="s">
        <v>222</v>
      </c>
      <c r="E12" s="2">
        <f>DATE(2024,2,21)</f>
        <v>45343</v>
      </c>
    </row>
    <row r="13" spans="1:5" x14ac:dyDescent="0.2">
      <c r="A13" t="s">
        <v>235</v>
      </c>
      <c r="B13" t="s">
        <v>59</v>
      </c>
      <c r="C13" t="s">
        <v>236</v>
      </c>
      <c r="D13" t="s">
        <v>230</v>
      </c>
      <c r="E13" s="2">
        <f>DATE(2024,5,2)</f>
        <v>45414</v>
      </c>
    </row>
    <row r="14" spans="1:5" x14ac:dyDescent="0.2">
      <c r="A14" t="s">
        <v>237</v>
      </c>
      <c r="B14" t="s">
        <v>61</v>
      </c>
      <c r="C14" t="s">
        <v>238</v>
      </c>
      <c r="D14" t="s">
        <v>225</v>
      </c>
      <c r="E14" s="2">
        <f>DATE(2024,5,30)</f>
        <v>45442</v>
      </c>
    </row>
    <row r="15" spans="1:5" x14ac:dyDescent="0.2">
      <c r="A15" t="s">
        <v>233</v>
      </c>
      <c r="B15" t="s">
        <v>57</v>
      </c>
      <c r="C15" t="s">
        <v>234</v>
      </c>
      <c r="D15" t="s">
        <v>222</v>
      </c>
      <c r="E15" s="2">
        <f>DATE(2024,4,15)</f>
        <v>45397</v>
      </c>
    </row>
    <row r="16" spans="1:5" x14ac:dyDescent="0.2">
      <c r="A16" t="s">
        <v>239</v>
      </c>
      <c r="B16" t="s">
        <v>64</v>
      </c>
      <c r="C16" t="s">
        <v>240</v>
      </c>
      <c r="D16" t="s">
        <v>222</v>
      </c>
      <c r="E16" s="2">
        <f>DATE(2024,6,18)</f>
        <v>45461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6665B-41CF-D742-821B-2C2182C11C5B}">
  <dimension ref="A1:E12"/>
  <sheetViews>
    <sheetView zoomScale="181" workbookViewId="0">
      <pane ySplit="4" topLeftCell="A5" activePane="bottomLeft" state="frozen"/>
      <selection pane="bottomLeft" activeCell="B20" sqref="B20"/>
    </sheetView>
  </sheetViews>
  <sheetFormatPr baseColWidth="10" defaultRowHeight="16" x14ac:dyDescent="0.2"/>
  <cols>
    <col min="1" max="1" width="18.83203125" customWidth="1"/>
    <col min="2" max="2" width="22.33203125" bestFit="1" customWidth="1"/>
    <col min="3" max="3" width="12.1640625" bestFit="1" customWidth="1"/>
    <col min="4" max="5" width="5.83203125" bestFit="1" customWidth="1"/>
  </cols>
  <sheetData>
    <row r="1" spans="1:5" ht="19" x14ac:dyDescent="0.25">
      <c r="A1" s="12" t="s">
        <v>241</v>
      </c>
      <c r="B1" s="13"/>
      <c r="C1" s="13"/>
      <c r="D1" s="13"/>
      <c r="E1" s="13"/>
    </row>
    <row r="2" spans="1:5" x14ac:dyDescent="0.2">
      <c r="A2" s="14" t="s">
        <v>242</v>
      </c>
      <c r="B2" s="13"/>
      <c r="C2" s="13"/>
      <c r="D2" s="13"/>
      <c r="E2" s="13"/>
    </row>
    <row r="3" spans="1:5" x14ac:dyDescent="0.2">
      <c r="A3" s="13"/>
      <c r="B3" s="13"/>
      <c r="C3" s="13"/>
      <c r="D3" s="13"/>
      <c r="E3" s="13"/>
    </row>
    <row r="4" spans="1:5" x14ac:dyDescent="0.2">
      <c r="A4" s="15" t="s">
        <v>243</v>
      </c>
      <c r="B4" s="15" t="s">
        <v>244</v>
      </c>
      <c r="C4" s="15" t="s">
        <v>245</v>
      </c>
      <c r="D4" s="15" t="s">
        <v>246</v>
      </c>
      <c r="E4" s="15" t="s">
        <v>247</v>
      </c>
    </row>
    <row r="5" spans="1:5" x14ac:dyDescent="0.2">
      <c r="A5" s="13" t="s">
        <v>248</v>
      </c>
      <c r="B5" s="13" t="s">
        <v>249</v>
      </c>
      <c r="C5" s="13" t="s">
        <v>10</v>
      </c>
      <c r="D5" s="13">
        <v>18</v>
      </c>
      <c r="E5" s="17">
        <v>340</v>
      </c>
    </row>
    <row r="6" spans="1:5" x14ac:dyDescent="0.2">
      <c r="A6" s="13" t="s">
        <v>250</v>
      </c>
      <c r="B6" s="13" t="s">
        <v>251</v>
      </c>
      <c r="C6" s="13" t="s">
        <v>14</v>
      </c>
      <c r="D6" s="13">
        <v>14</v>
      </c>
      <c r="E6" s="17">
        <v>420</v>
      </c>
    </row>
    <row r="7" spans="1:5" x14ac:dyDescent="0.2">
      <c r="A7" s="13" t="s">
        <v>252</v>
      </c>
      <c r="B7" s="13" t="s">
        <v>253</v>
      </c>
      <c r="C7" s="13" t="s">
        <v>18</v>
      </c>
      <c r="D7" s="13">
        <v>20</v>
      </c>
      <c r="E7" s="17">
        <v>390</v>
      </c>
    </row>
    <row r="8" spans="1:5" x14ac:dyDescent="0.2">
      <c r="A8" s="13" t="s">
        <v>254</v>
      </c>
      <c r="B8" s="13" t="s">
        <v>255</v>
      </c>
      <c r="C8" s="13" t="s">
        <v>22</v>
      </c>
      <c r="D8" s="13">
        <v>16</v>
      </c>
      <c r="E8" s="17">
        <v>450</v>
      </c>
    </row>
    <row r="9" spans="1:5" x14ac:dyDescent="0.2">
      <c r="A9" s="13" t="s">
        <v>256</v>
      </c>
      <c r="B9" s="13" t="s">
        <v>257</v>
      </c>
      <c r="C9" s="13" t="s">
        <v>26</v>
      </c>
      <c r="D9" s="13">
        <v>12</v>
      </c>
      <c r="E9" s="17">
        <v>480</v>
      </c>
    </row>
    <row r="10" spans="1:5" x14ac:dyDescent="0.2">
      <c r="A10" s="13" t="s">
        <v>258</v>
      </c>
      <c r="B10" s="13" t="s">
        <v>259</v>
      </c>
      <c r="C10" s="13" t="s">
        <v>10</v>
      </c>
      <c r="D10" s="13">
        <v>15</v>
      </c>
      <c r="E10" s="17">
        <v>510</v>
      </c>
    </row>
    <row r="11" spans="1:5" x14ac:dyDescent="0.2">
      <c r="A11" s="13" t="s">
        <v>260</v>
      </c>
      <c r="B11" s="13" t="s">
        <v>261</v>
      </c>
      <c r="C11" s="13" t="s">
        <v>18</v>
      </c>
      <c r="D11" s="13">
        <v>22</v>
      </c>
      <c r="E11" s="17">
        <v>360</v>
      </c>
    </row>
    <row r="12" spans="1:5" x14ac:dyDescent="0.2">
      <c r="A12" s="13" t="s">
        <v>262</v>
      </c>
      <c r="B12" s="13" t="s">
        <v>263</v>
      </c>
      <c r="C12" s="13" t="s">
        <v>14</v>
      </c>
      <c r="D12" s="13">
        <v>10</v>
      </c>
      <c r="E12" s="17">
        <v>540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D7854-63E2-034F-8C99-05C109EF39E7}">
  <dimension ref="A1:F14"/>
  <sheetViews>
    <sheetView zoomScale="150" workbookViewId="0">
      <pane ySplit="4" topLeftCell="A5" activePane="bottomLeft" state="frozen"/>
      <selection pane="bottomLeft" activeCell="H20" sqref="H20"/>
    </sheetView>
  </sheetViews>
  <sheetFormatPr baseColWidth="10" defaultRowHeight="16" x14ac:dyDescent="0.2"/>
  <cols>
    <col min="1" max="1" width="18.6640625" customWidth="1"/>
    <col min="2" max="2" width="11.1640625" bestFit="1" customWidth="1"/>
    <col min="3" max="6" width="9.33203125" bestFit="1" customWidth="1"/>
  </cols>
  <sheetData>
    <row r="1" spans="1:6" ht="19" x14ac:dyDescent="0.25">
      <c r="A1" s="12" t="s">
        <v>144</v>
      </c>
      <c r="B1" s="13"/>
      <c r="C1" s="13"/>
      <c r="D1" s="13"/>
      <c r="E1" s="13"/>
      <c r="F1" s="13"/>
    </row>
    <row r="2" spans="1:6" x14ac:dyDescent="0.2">
      <c r="A2" s="14" t="s">
        <v>264</v>
      </c>
      <c r="B2" s="13"/>
      <c r="C2" s="13"/>
      <c r="D2" s="13"/>
      <c r="E2" s="13"/>
      <c r="F2" s="13"/>
    </row>
    <row r="3" spans="1:6" x14ac:dyDescent="0.2">
      <c r="A3" s="13"/>
      <c r="B3" s="13"/>
      <c r="C3" s="13"/>
      <c r="D3" s="13"/>
      <c r="E3" s="13"/>
      <c r="F3" s="13"/>
    </row>
    <row r="4" spans="1:6" x14ac:dyDescent="0.2">
      <c r="A4" s="15" t="s">
        <v>2</v>
      </c>
      <c r="B4" s="15" t="s">
        <v>265</v>
      </c>
      <c r="C4" s="15" t="s">
        <v>266</v>
      </c>
      <c r="D4" s="15" t="s">
        <v>267</v>
      </c>
      <c r="E4" s="15" t="s">
        <v>268</v>
      </c>
      <c r="F4" s="15" t="s">
        <v>269</v>
      </c>
    </row>
    <row r="5" spans="1:6" x14ac:dyDescent="0.2">
      <c r="A5" s="13" t="s">
        <v>9</v>
      </c>
      <c r="B5" s="13" t="s">
        <v>270</v>
      </c>
      <c r="C5" s="17">
        <v>182000</v>
      </c>
      <c r="D5" s="17">
        <v>195000</v>
      </c>
      <c r="E5" s="17">
        <v>201000</v>
      </c>
      <c r="F5" s="17">
        <v>224000</v>
      </c>
    </row>
    <row r="6" spans="1:6" x14ac:dyDescent="0.2">
      <c r="A6" s="13" t="s">
        <v>9</v>
      </c>
      <c r="B6" s="13" t="s">
        <v>271</v>
      </c>
      <c r="C6" s="17">
        <v>94000</v>
      </c>
      <c r="D6" s="17">
        <v>101000</v>
      </c>
      <c r="E6" s="17">
        <v>88000</v>
      </c>
      <c r="F6" s="17">
        <v>112000</v>
      </c>
    </row>
    <row r="7" spans="1:6" x14ac:dyDescent="0.2">
      <c r="A7" s="13" t="s">
        <v>9</v>
      </c>
      <c r="B7" s="13" t="s">
        <v>272</v>
      </c>
      <c r="C7" s="17">
        <v>121000</v>
      </c>
      <c r="D7" s="17">
        <v>118000</v>
      </c>
      <c r="E7" s="17">
        <v>135000</v>
      </c>
      <c r="F7" s="17">
        <v>142000</v>
      </c>
    </row>
    <row r="8" spans="1:6" x14ac:dyDescent="0.2">
      <c r="A8" s="13" t="s">
        <v>13</v>
      </c>
      <c r="B8" s="13" t="s">
        <v>273</v>
      </c>
      <c r="C8" s="17">
        <v>165000</v>
      </c>
      <c r="D8" s="17">
        <v>158000</v>
      </c>
      <c r="E8" s="17">
        <v>172000</v>
      </c>
      <c r="F8" s="17">
        <v>181000</v>
      </c>
    </row>
    <row r="9" spans="1:6" x14ac:dyDescent="0.2">
      <c r="A9" s="13" t="s">
        <v>13</v>
      </c>
      <c r="B9" s="13" t="s">
        <v>274</v>
      </c>
      <c r="C9" s="17">
        <v>143000</v>
      </c>
      <c r="D9" s="17">
        <v>151000</v>
      </c>
      <c r="E9" s="17">
        <v>149000</v>
      </c>
      <c r="F9" s="17">
        <v>166000</v>
      </c>
    </row>
    <row r="10" spans="1:6" x14ac:dyDescent="0.2">
      <c r="A10" s="13" t="s">
        <v>13</v>
      </c>
      <c r="B10" s="13" t="s">
        <v>275</v>
      </c>
      <c r="C10" s="17">
        <v>78000</v>
      </c>
      <c r="D10" s="17">
        <v>84000</v>
      </c>
      <c r="E10" s="17">
        <v>91000</v>
      </c>
      <c r="F10" s="17">
        <v>88000</v>
      </c>
    </row>
    <row r="11" spans="1:6" x14ac:dyDescent="0.2">
      <c r="A11" s="13" t="s">
        <v>17</v>
      </c>
      <c r="B11" s="13" t="s">
        <v>276</v>
      </c>
      <c r="C11" s="17">
        <v>112000</v>
      </c>
      <c r="D11" s="17">
        <v>124000</v>
      </c>
      <c r="E11" s="17">
        <v>131000</v>
      </c>
      <c r="F11" s="17">
        <v>145000</v>
      </c>
    </row>
    <row r="12" spans="1:6" x14ac:dyDescent="0.2">
      <c r="A12" s="13" t="s">
        <v>17</v>
      </c>
      <c r="B12" s="13" t="s">
        <v>277</v>
      </c>
      <c r="C12" s="17">
        <v>89000</v>
      </c>
      <c r="D12" s="17">
        <v>93000</v>
      </c>
      <c r="E12" s="17">
        <v>97000</v>
      </c>
      <c r="F12" s="17">
        <v>104000</v>
      </c>
    </row>
    <row r="13" spans="1:6" x14ac:dyDescent="0.2">
      <c r="A13" s="13" t="s">
        <v>21</v>
      </c>
      <c r="B13" s="13" t="s">
        <v>278</v>
      </c>
      <c r="C13" s="17">
        <v>204000</v>
      </c>
      <c r="D13" s="17">
        <v>198000</v>
      </c>
      <c r="E13" s="17">
        <v>215000</v>
      </c>
      <c r="F13" s="17">
        <v>232000</v>
      </c>
    </row>
    <row r="14" spans="1:6" x14ac:dyDescent="0.2">
      <c r="A14" s="13" t="s">
        <v>21</v>
      </c>
      <c r="B14" s="13" t="s">
        <v>279</v>
      </c>
      <c r="C14" s="17">
        <v>132000</v>
      </c>
      <c r="D14" s="17">
        <v>141000</v>
      </c>
      <c r="E14" s="17">
        <v>138000</v>
      </c>
      <c r="F14" s="17">
        <v>155000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E1963-0B7A-4E40-A886-B81098C43CB9}">
  <dimension ref="A1:E16"/>
  <sheetViews>
    <sheetView zoomScale="150" workbookViewId="0">
      <pane ySplit="4" topLeftCell="A5" activePane="bottomLeft" state="frozen"/>
      <selection pane="bottomLeft" activeCell="G17" sqref="G17"/>
    </sheetView>
  </sheetViews>
  <sheetFormatPr baseColWidth="10" defaultRowHeight="16" x14ac:dyDescent="0.2"/>
  <cols>
    <col min="1" max="1" width="14.83203125" customWidth="1"/>
    <col min="2" max="2" width="14.6640625" bestFit="1" customWidth="1"/>
    <col min="3" max="3" width="9.33203125" bestFit="1" customWidth="1"/>
    <col min="4" max="4" width="11.33203125" bestFit="1" customWidth="1"/>
    <col min="5" max="5" width="12" bestFit="1" customWidth="1"/>
  </cols>
  <sheetData>
    <row r="1" spans="1:5" ht="19" x14ac:dyDescent="0.25">
      <c r="A1" s="12" t="s">
        <v>280</v>
      </c>
      <c r="B1" s="13"/>
      <c r="C1" s="13"/>
      <c r="D1" s="13"/>
      <c r="E1" s="13"/>
    </row>
    <row r="2" spans="1:5" x14ac:dyDescent="0.2">
      <c r="A2" s="14" t="s">
        <v>281</v>
      </c>
      <c r="B2" s="13"/>
      <c r="C2" s="13"/>
      <c r="D2" s="13"/>
      <c r="E2" s="13"/>
    </row>
    <row r="3" spans="1:5" x14ac:dyDescent="0.2">
      <c r="A3" s="13"/>
      <c r="B3" s="13"/>
      <c r="C3" s="13"/>
      <c r="D3" s="13"/>
      <c r="E3" s="13"/>
    </row>
    <row r="4" spans="1:5" x14ac:dyDescent="0.2">
      <c r="A4" s="15" t="s">
        <v>187</v>
      </c>
      <c r="B4" s="15" t="s">
        <v>35</v>
      </c>
      <c r="C4" s="15" t="s">
        <v>282</v>
      </c>
      <c r="D4" s="15" t="s">
        <v>283</v>
      </c>
      <c r="E4" s="15" t="s">
        <v>284</v>
      </c>
    </row>
    <row r="5" spans="1:5" x14ac:dyDescent="0.2">
      <c r="A5" s="13" t="s">
        <v>191</v>
      </c>
      <c r="B5" s="13" t="s">
        <v>192</v>
      </c>
      <c r="C5" s="17">
        <v>180000</v>
      </c>
      <c r="D5" s="17">
        <v>192500</v>
      </c>
      <c r="E5" s="7">
        <f>D5/C5</f>
        <v>1.0694444444444444</v>
      </c>
    </row>
    <row r="6" spans="1:5" x14ac:dyDescent="0.2">
      <c r="A6" s="13" t="s">
        <v>193</v>
      </c>
      <c r="B6" s="13" t="s">
        <v>194</v>
      </c>
      <c r="C6" s="17">
        <v>170000</v>
      </c>
      <c r="D6" s="17">
        <v>158000</v>
      </c>
      <c r="E6" s="7">
        <f>D6/C6</f>
        <v>0.92941176470588238</v>
      </c>
    </row>
    <row r="7" spans="1:5" x14ac:dyDescent="0.2">
      <c r="A7" s="13" t="s">
        <v>195</v>
      </c>
      <c r="B7" s="13" t="s">
        <v>196</v>
      </c>
      <c r="C7" s="17">
        <v>140000</v>
      </c>
      <c r="D7" s="17">
        <v>146800</v>
      </c>
      <c r="E7" s="7">
        <f>D7/C7</f>
        <v>1.0485714285714285</v>
      </c>
    </row>
    <row r="8" spans="1:5" x14ac:dyDescent="0.2">
      <c r="A8" s="13" t="s">
        <v>197</v>
      </c>
      <c r="B8" s="13" t="s">
        <v>198</v>
      </c>
      <c r="C8" s="17">
        <v>150000</v>
      </c>
      <c r="D8" s="17">
        <v>131200</v>
      </c>
      <c r="E8" s="7">
        <f>D8/C8</f>
        <v>0.8746666666666667</v>
      </c>
    </row>
    <row r="9" spans="1:5" x14ac:dyDescent="0.2">
      <c r="A9" s="13" t="s">
        <v>199</v>
      </c>
      <c r="B9" s="13" t="s">
        <v>200</v>
      </c>
      <c r="C9" s="17">
        <v>200000</v>
      </c>
      <c r="D9" s="17">
        <v>214000</v>
      </c>
      <c r="E9" s="7">
        <f>D9/C9</f>
        <v>1.07</v>
      </c>
    </row>
    <row r="10" spans="1:5" x14ac:dyDescent="0.2">
      <c r="A10" s="13" t="s">
        <v>201</v>
      </c>
      <c r="B10" s="13" t="s">
        <v>202</v>
      </c>
      <c r="C10" s="17">
        <v>120000</v>
      </c>
      <c r="D10" s="17">
        <v>118500</v>
      </c>
      <c r="E10" s="7">
        <f>D10/C10</f>
        <v>0.98750000000000004</v>
      </c>
    </row>
    <row r="11" spans="1:5" x14ac:dyDescent="0.2">
      <c r="A11" s="13" t="s">
        <v>203</v>
      </c>
      <c r="B11" s="13" t="s">
        <v>204</v>
      </c>
      <c r="C11" s="17">
        <v>130000</v>
      </c>
      <c r="D11" s="17">
        <v>142300</v>
      </c>
      <c r="E11" s="7">
        <f>D11/C11</f>
        <v>1.0946153846153845</v>
      </c>
    </row>
    <row r="12" spans="1:5" x14ac:dyDescent="0.2">
      <c r="A12" s="13" t="s">
        <v>205</v>
      </c>
      <c r="B12" s="13" t="s">
        <v>206</v>
      </c>
      <c r="C12" s="17">
        <v>100000</v>
      </c>
      <c r="D12" s="17">
        <v>87600</v>
      </c>
      <c r="E12" s="7">
        <f>D12/C12</f>
        <v>0.876</v>
      </c>
    </row>
    <row r="13" spans="1:5" x14ac:dyDescent="0.2">
      <c r="A13" s="13" t="s">
        <v>208</v>
      </c>
      <c r="B13" s="13" t="s">
        <v>209</v>
      </c>
      <c r="C13" s="17">
        <v>90000</v>
      </c>
      <c r="D13" s="17">
        <v>95400</v>
      </c>
      <c r="E13" s="7">
        <f>D13/C13</f>
        <v>1.06</v>
      </c>
    </row>
    <row r="14" spans="1:5" x14ac:dyDescent="0.2">
      <c r="A14" s="13" t="s">
        <v>210</v>
      </c>
      <c r="B14" s="13" t="s">
        <v>211</v>
      </c>
      <c r="C14" s="17">
        <v>110000</v>
      </c>
      <c r="D14" s="17">
        <v>104900</v>
      </c>
      <c r="E14" s="7">
        <f>D14/C14</f>
        <v>0.95363636363636362</v>
      </c>
    </row>
    <row r="15" spans="1:5" x14ac:dyDescent="0.2">
      <c r="A15" s="13" t="s">
        <v>212</v>
      </c>
      <c r="B15" s="13" t="s">
        <v>213</v>
      </c>
      <c r="C15" s="17">
        <v>105000</v>
      </c>
      <c r="D15" s="17">
        <v>121700</v>
      </c>
      <c r="E15" s="7">
        <f>D15/C15</f>
        <v>1.1590476190476191</v>
      </c>
    </row>
    <row r="16" spans="1:5" x14ac:dyDescent="0.2">
      <c r="A16" s="13" t="s">
        <v>285</v>
      </c>
      <c r="B16" s="13" t="s">
        <v>286</v>
      </c>
      <c r="C16" s="17">
        <v>115000</v>
      </c>
      <c r="D16" s="17">
        <v>99800</v>
      </c>
      <c r="E16" s="7">
        <f>D16/C16</f>
        <v>0.86782608695652175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9BDB3-1527-3E4E-81FC-088BA6EC4206}">
  <dimension ref="A1:E14"/>
  <sheetViews>
    <sheetView zoomScale="212" workbookViewId="0">
      <pane ySplit="4" topLeftCell="A5" activePane="bottomLeft" state="frozen"/>
      <selection pane="bottomLeft" activeCell="F16" sqref="F16"/>
    </sheetView>
  </sheetViews>
  <sheetFormatPr baseColWidth="10" defaultRowHeight="16" x14ac:dyDescent="0.2"/>
  <cols>
    <col min="1" max="1" width="10.83203125" customWidth="1"/>
    <col min="2" max="2" width="12.83203125" bestFit="1" customWidth="1"/>
    <col min="3" max="3" width="7.83203125" bestFit="1" customWidth="1"/>
    <col min="4" max="4" width="5.83203125" bestFit="1" customWidth="1"/>
    <col min="5" max="5" width="10.6640625" bestFit="1" customWidth="1"/>
  </cols>
  <sheetData>
    <row r="1" spans="1:5" ht="19" x14ac:dyDescent="0.25">
      <c r="A1" s="3" t="s">
        <v>287</v>
      </c>
    </row>
    <row r="2" spans="1:5" x14ac:dyDescent="0.2">
      <c r="A2" s="4" t="s">
        <v>288</v>
      </c>
    </row>
    <row r="4" spans="1:5" x14ac:dyDescent="0.2">
      <c r="A4" s="1" t="s">
        <v>289</v>
      </c>
      <c r="B4" s="1" t="s">
        <v>290</v>
      </c>
      <c r="C4" s="1" t="s">
        <v>291</v>
      </c>
      <c r="D4" s="1" t="s">
        <v>292</v>
      </c>
      <c r="E4" s="1" t="s">
        <v>293</v>
      </c>
    </row>
    <row r="5" spans="1:5" x14ac:dyDescent="0.2">
      <c r="A5" t="s">
        <v>294</v>
      </c>
      <c r="B5" t="s">
        <v>39</v>
      </c>
      <c r="C5" t="s">
        <v>295</v>
      </c>
      <c r="D5">
        <v>88</v>
      </c>
      <c r="E5" s="8">
        <v>0.96</v>
      </c>
    </row>
    <row r="6" spans="1:5" x14ac:dyDescent="0.2">
      <c r="A6" t="s">
        <v>296</v>
      </c>
      <c r="B6" t="s">
        <v>43</v>
      </c>
      <c r="C6" t="s">
        <v>297</v>
      </c>
      <c r="D6">
        <v>64</v>
      </c>
      <c r="E6" s="8">
        <v>0.81</v>
      </c>
    </row>
    <row r="7" spans="1:5" x14ac:dyDescent="0.2">
      <c r="A7" t="s">
        <v>298</v>
      </c>
      <c r="B7" t="s">
        <v>47</v>
      </c>
      <c r="C7" t="s">
        <v>295</v>
      </c>
      <c r="D7">
        <v>91</v>
      </c>
      <c r="E7" s="8">
        <v>0.99</v>
      </c>
    </row>
    <row r="8" spans="1:5" x14ac:dyDescent="0.2">
      <c r="A8" t="s">
        <v>299</v>
      </c>
      <c r="B8" t="s">
        <v>51</v>
      </c>
      <c r="C8" t="s">
        <v>300</v>
      </c>
      <c r="D8">
        <v>47</v>
      </c>
      <c r="E8" s="8">
        <v>0.72</v>
      </c>
    </row>
    <row r="9" spans="1:5" x14ac:dyDescent="0.2">
      <c r="A9" t="s">
        <v>301</v>
      </c>
      <c r="B9" t="s">
        <v>53</v>
      </c>
      <c r="C9" t="s">
        <v>297</v>
      </c>
      <c r="D9">
        <v>76</v>
      </c>
      <c r="E9" s="8">
        <v>0.88</v>
      </c>
    </row>
    <row r="10" spans="1:5" x14ac:dyDescent="0.2">
      <c r="A10" t="s">
        <v>302</v>
      </c>
      <c r="B10" t="s">
        <v>57</v>
      </c>
      <c r="C10" t="s">
        <v>295</v>
      </c>
      <c r="D10">
        <v>83</v>
      </c>
      <c r="E10" s="8">
        <v>0.93</v>
      </c>
    </row>
    <row r="11" spans="1:5" x14ac:dyDescent="0.2">
      <c r="A11" t="s">
        <v>303</v>
      </c>
      <c r="B11" t="s">
        <v>59</v>
      </c>
      <c r="C11" t="s">
        <v>300</v>
      </c>
      <c r="D11">
        <v>59</v>
      </c>
      <c r="E11" s="8">
        <v>0.77</v>
      </c>
    </row>
    <row r="12" spans="1:5" x14ac:dyDescent="0.2">
      <c r="A12" t="s">
        <v>304</v>
      </c>
      <c r="B12" t="s">
        <v>61</v>
      </c>
      <c r="C12" t="s">
        <v>297</v>
      </c>
      <c r="D12">
        <v>95</v>
      </c>
      <c r="E12" s="8">
        <v>0.98</v>
      </c>
    </row>
    <row r="13" spans="1:5" x14ac:dyDescent="0.2">
      <c r="A13" t="s">
        <v>305</v>
      </c>
      <c r="B13" t="s">
        <v>64</v>
      </c>
      <c r="C13" t="s">
        <v>295</v>
      </c>
      <c r="D13">
        <v>71</v>
      </c>
      <c r="E13" s="8">
        <v>0.85</v>
      </c>
    </row>
    <row r="14" spans="1:5" x14ac:dyDescent="0.2">
      <c r="A14" t="s">
        <v>306</v>
      </c>
      <c r="B14" t="s">
        <v>66</v>
      </c>
      <c r="C14" t="s">
        <v>300</v>
      </c>
      <c r="D14">
        <v>68</v>
      </c>
      <c r="E14" s="8">
        <v>0.8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59C2D-4AAE-A94D-9254-32086FF5AB64}">
  <dimension ref="A1:E16"/>
  <sheetViews>
    <sheetView zoomScale="159" workbookViewId="0">
      <pane ySplit="4" topLeftCell="A5" activePane="bottomLeft" state="frozen"/>
      <selection pane="bottomLeft" activeCell="G20" sqref="G20"/>
    </sheetView>
  </sheetViews>
  <sheetFormatPr baseColWidth="10" defaultRowHeight="16" x14ac:dyDescent="0.2"/>
  <cols>
    <col min="1" max="1" width="14.6640625" customWidth="1"/>
    <col min="2" max="2" width="14.1640625" bestFit="1" customWidth="1"/>
    <col min="3" max="3" width="9.33203125" bestFit="1" customWidth="1"/>
    <col min="4" max="4" width="9.1640625" bestFit="1" customWidth="1"/>
    <col min="5" max="5" width="8.33203125" bestFit="1" customWidth="1"/>
  </cols>
  <sheetData>
    <row r="1" spans="1:5" ht="19" x14ac:dyDescent="0.25">
      <c r="A1" s="12" t="s">
        <v>307</v>
      </c>
      <c r="B1" s="13"/>
      <c r="C1" s="13"/>
      <c r="D1" s="13"/>
      <c r="E1" s="13"/>
    </row>
    <row r="2" spans="1:5" x14ac:dyDescent="0.2">
      <c r="A2" s="14" t="s">
        <v>308</v>
      </c>
      <c r="B2" s="13"/>
      <c r="C2" s="13"/>
      <c r="D2" s="13"/>
      <c r="E2" s="13"/>
    </row>
    <row r="3" spans="1:5" x14ac:dyDescent="0.2">
      <c r="A3" s="13"/>
      <c r="B3" s="13"/>
      <c r="C3" s="13"/>
      <c r="D3" s="13"/>
      <c r="E3" s="13"/>
    </row>
    <row r="4" spans="1:5" x14ac:dyDescent="0.2">
      <c r="A4" s="15" t="s">
        <v>69</v>
      </c>
      <c r="B4" s="15" t="s">
        <v>70</v>
      </c>
      <c r="C4" s="15" t="s">
        <v>72</v>
      </c>
      <c r="D4" s="15" t="s">
        <v>7</v>
      </c>
      <c r="E4" s="15" t="s">
        <v>8</v>
      </c>
    </row>
    <row r="5" spans="1:5" x14ac:dyDescent="0.2">
      <c r="A5" s="13" t="s">
        <v>75</v>
      </c>
      <c r="B5" s="13" t="s">
        <v>309</v>
      </c>
      <c r="C5" s="13">
        <v>320</v>
      </c>
      <c r="D5" s="16">
        <v>62</v>
      </c>
      <c r="E5" s="17">
        <f>C5*D5</f>
        <v>19840</v>
      </c>
    </row>
    <row r="6" spans="1:5" x14ac:dyDescent="0.2">
      <c r="A6" s="13" t="s">
        <v>77</v>
      </c>
      <c r="B6" s="13" t="s">
        <v>310</v>
      </c>
      <c r="C6" s="13">
        <v>410</v>
      </c>
      <c r="D6" s="16">
        <v>24.5</v>
      </c>
      <c r="E6" s="17">
        <f>C6*D6</f>
        <v>10045</v>
      </c>
    </row>
    <row r="7" spans="1:5" x14ac:dyDescent="0.2">
      <c r="A7" s="13" t="s">
        <v>79</v>
      </c>
      <c r="B7" s="13" t="s">
        <v>311</v>
      </c>
      <c r="C7" s="13">
        <v>145</v>
      </c>
      <c r="D7" s="16">
        <v>319</v>
      </c>
      <c r="E7" s="17">
        <f>C7*D7</f>
        <v>46255</v>
      </c>
    </row>
    <row r="8" spans="1:5" x14ac:dyDescent="0.2">
      <c r="A8" s="13" t="s">
        <v>81</v>
      </c>
      <c r="B8" s="13" t="s">
        <v>312</v>
      </c>
      <c r="C8" s="13">
        <v>62</v>
      </c>
      <c r="D8" s="16">
        <v>289</v>
      </c>
      <c r="E8" s="17">
        <f>C8*D8</f>
        <v>17918</v>
      </c>
    </row>
    <row r="9" spans="1:5" x14ac:dyDescent="0.2">
      <c r="A9" s="13" t="s">
        <v>82</v>
      </c>
      <c r="B9" s="13" t="s">
        <v>313</v>
      </c>
      <c r="C9" s="13">
        <v>210</v>
      </c>
      <c r="D9" s="16">
        <v>145</v>
      </c>
      <c r="E9" s="17">
        <f>C9*D9</f>
        <v>30450</v>
      </c>
    </row>
    <row r="10" spans="1:5" x14ac:dyDescent="0.2">
      <c r="A10" s="13" t="s">
        <v>84</v>
      </c>
      <c r="B10" s="13" t="s">
        <v>314</v>
      </c>
      <c r="C10" s="13">
        <v>48</v>
      </c>
      <c r="D10" s="16">
        <v>520</v>
      </c>
      <c r="E10" s="17">
        <f>C10*D10</f>
        <v>24960</v>
      </c>
    </row>
    <row r="11" spans="1:5" x14ac:dyDescent="0.2">
      <c r="A11" s="13" t="s">
        <v>86</v>
      </c>
      <c r="B11" s="13" t="s">
        <v>315</v>
      </c>
      <c r="C11" s="13">
        <v>275</v>
      </c>
      <c r="D11" s="16">
        <v>130</v>
      </c>
      <c r="E11" s="17">
        <f>C11*D11</f>
        <v>35750</v>
      </c>
    </row>
    <row r="12" spans="1:5" x14ac:dyDescent="0.2">
      <c r="A12" s="13" t="s">
        <v>88</v>
      </c>
      <c r="B12" s="13" t="s">
        <v>316</v>
      </c>
      <c r="C12" s="13">
        <v>390</v>
      </c>
      <c r="D12" s="16">
        <v>48</v>
      </c>
      <c r="E12" s="17">
        <f>C12*D12</f>
        <v>18720</v>
      </c>
    </row>
    <row r="13" spans="1:5" x14ac:dyDescent="0.2">
      <c r="A13" s="13" t="s">
        <v>90</v>
      </c>
      <c r="B13" s="13" t="s">
        <v>317</v>
      </c>
      <c r="C13" s="13">
        <v>188</v>
      </c>
      <c r="D13" s="16">
        <v>80</v>
      </c>
      <c r="E13" s="17">
        <f>C13*D13</f>
        <v>15040</v>
      </c>
    </row>
    <row r="14" spans="1:5" x14ac:dyDescent="0.2">
      <c r="A14" s="13" t="s">
        <v>91</v>
      </c>
      <c r="B14" s="13" t="s">
        <v>318</v>
      </c>
      <c r="C14" s="13">
        <v>256</v>
      </c>
      <c r="D14" s="16">
        <v>80</v>
      </c>
      <c r="E14" s="17">
        <f>C14*D14</f>
        <v>20480</v>
      </c>
    </row>
    <row r="15" spans="1:5" x14ac:dyDescent="0.2">
      <c r="A15" s="13" t="s">
        <v>93</v>
      </c>
      <c r="B15" s="13" t="s">
        <v>319</v>
      </c>
      <c r="C15" s="13">
        <v>520</v>
      </c>
      <c r="D15" s="16">
        <v>15</v>
      </c>
      <c r="E15" s="17">
        <f>C15*D15</f>
        <v>7800</v>
      </c>
    </row>
    <row r="16" spans="1:5" x14ac:dyDescent="0.2">
      <c r="A16" s="13" t="s">
        <v>95</v>
      </c>
      <c r="B16" s="13" t="s">
        <v>96</v>
      </c>
      <c r="C16" s="13">
        <v>96</v>
      </c>
      <c r="D16" s="16">
        <v>120</v>
      </c>
      <c r="E16" s="17">
        <f>C16*D16</f>
        <v>11520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29D3-8EC4-A948-A261-7EF7B0DAF617}">
  <dimension ref="A1:E16"/>
  <sheetViews>
    <sheetView zoomScale="190" workbookViewId="0">
      <pane ySplit="4" topLeftCell="A5" activePane="bottomLeft" state="frozen"/>
      <selection pane="bottomLeft" activeCell="F17" sqref="F17"/>
    </sheetView>
  </sheetViews>
  <sheetFormatPr baseColWidth="10" defaultRowHeight="16" x14ac:dyDescent="0.2"/>
  <cols>
    <col min="1" max="1" width="17.33203125" customWidth="1"/>
    <col min="2" max="2" width="13.83203125" bestFit="1" customWidth="1"/>
    <col min="3" max="3" width="12.33203125" bestFit="1" customWidth="1"/>
    <col min="4" max="4" width="12.83203125" bestFit="1" customWidth="1"/>
    <col min="5" max="5" width="10.5" bestFit="1" customWidth="1"/>
  </cols>
  <sheetData>
    <row r="1" spans="1:5" ht="19" x14ac:dyDescent="0.25">
      <c r="A1" s="3" t="s">
        <v>320</v>
      </c>
    </row>
    <row r="2" spans="1:5" x14ac:dyDescent="0.2">
      <c r="A2" s="4" t="s">
        <v>321</v>
      </c>
    </row>
    <row r="4" spans="1:5" x14ac:dyDescent="0.2">
      <c r="A4" s="1" t="s">
        <v>322</v>
      </c>
      <c r="B4" s="1" t="s">
        <v>323</v>
      </c>
      <c r="C4" s="1" t="s">
        <v>324</v>
      </c>
      <c r="D4" s="1" t="s">
        <v>325</v>
      </c>
      <c r="E4" s="1" t="s">
        <v>326</v>
      </c>
    </row>
    <row r="5" spans="1:5" x14ac:dyDescent="0.2">
      <c r="A5" t="s">
        <v>327</v>
      </c>
      <c r="B5" t="s">
        <v>11</v>
      </c>
      <c r="C5">
        <v>25</v>
      </c>
      <c r="D5">
        <v>7</v>
      </c>
      <c r="E5" t="s">
        <v>41</v>
      </c>
    </row>
    <row r="6" spans="1:5" x14ac:dyDescent="0.2">
      <c r="A6" t="s">
        <v>328</v>
      </c>
      <c r="B6" t="s">
        <v>15</v>
      </c>
      <c r="C6">
        <v>40</v>
      </c>
      <c r="D6">
        <v>120</v>
      </c>
      <c r="E6" t="s">
        <v>45</v>
      </c>
    </row>
    <row r="7" spans="1:5" x14ac:dyDescent="0.2">
      <c r="A7" t="s">
        <v>329</v>
      </c>
      <c r="B7" t="s">
        <v>19</v>
      </c>
      <c r="C7">
        <v>60</v>
      </c>
      <c r="D7">
        <v>12</v>
      </c>
      <c r="E7" t="s">
        <v>41</v>
      </c>
    </row>
    <row r="8" spans="1:5" x14ac:dyDescent="0.2">
      <c r="A8" t="s">
        <v>330</v>
      </c>
      <c r="B8" t="s">
        <v>23</v>
      </c>
      <c r="C8">
        <v>15</v>
      </c>
      <c r="D8">
        <v>4</v>
      </c>
      <c r="E8" t="s">
        <v>49</v>
      </c>
    </row>
    <row r="9" spans="1:5" x14ac:dyDescent="0.2">
      <c r="A9" t="s">
        <v>331</v>
      </c>
      <c r="B9" t="s">
        <v>25</v>
      </c>
      <c r="C9">
        <v>50</v>
      </c>
      <c r="D9">
        <v>66</v>
      </c>
      <c r="E9" t="s">
        <v>45</v>
      </c>
    </row>
    <row r="10" spans="1:5" x14ac:dyDescent="0.2">
      <c r="A10" t="s">
        <v>332</v>
      </c>
      <c r="B10" t="s">
        <v>27</v>
      </c>
      <c r="C10">
        <v>30</v>
      </c>
      <c r="D10">
        <v>33</v>
      </c>
      <c r="E10" t="s">
        <v>41</v>
      </c>
    </row>
    <row r="11" spans="1:5" x14ac:dyDescent="0.2">
      <c r="A11" t="s">
        <v>333</v>
      </c>
      <c r="B11" t="s">
        <v>28</v>
      </c>
      <c r="C11">
        <v>35</v>
      </c>
      <c r="D11">
        <v>88</v>
      </c>
      <c r="E11" t="s">
        <v>55</v>
      </c>
    </row>
    <row r="12" spans="1:5" x14ac:dyDescent="0.2">
      <c r="A12" t="s">
        <v>334</v>
      </c>
      <c r="B12" t="s">
        <v>30</v>
      </c>
      <c r="C12">
        <v>45</v>
      </c>
      <c r="D12">
        <v>20</v>
      </c>
      <c r="E12" t="s">
        <v>49</v>
      </c>
    </row>
    <row r="13" spans="1:5" x14ac:dyDescent="0.2">
      <c r="A13" t="s">
        <v>335</v>
      </c>
      <c r="B13" t="s">
        <v>184</v>
      </c>
      <c r="C13">
        <v>25</v>
      </c>
      <c r="D13">
        <v>19</v>
      </c>
      <c r="E13" t="s">
        <v>45</v>
      </c>
    </row>
    <row r="14" spans="1:5" x14ac:dyDescent="0.2">
      <c r="A14" t="s">
        <v>336</v>
      </c>
      <c r="B14" t="s">
        <v>337</v>
      </c>
      <c r="C14">
        <v>40</v>
      </c>
      <c r="D14">
        <v>42</v>
      </c>
      <c r="E14" t="s">
        <v>41</v>
      </c>
    </row>
    <row r="15" spans="1:5" x14ac:dyDescent="0.2">
      <c r="A15" t="s">
        <v>338</v>
      </c>
      <c r="B15" t="s">
        <v>339</v>
      </c>
      <c r="C15">
        <v>80</v>
      </c>
      <c r="D15">
        <v>205</v>
      </c>
      <c r="E15" t="s">
        <v>55</v>
      </c>
    </row>
    <row r="16" spans="1:5" x14ac:dyDescent="0.2">
      <c r="A16" t="s">
        <v>340</v>
      </c>
      <c r="B16" t="s">
        <v>341</v>
      </c>
      <c r="C16">
        <v>20</v>
      </c>
      <c r="D16">
        <v>9</v>
      </c>
      <c r="E16" t="s">
        <v>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BE8B4-32D4-BE45-8823-FC088E259AA9}">
  <dimension ref="A1:E16"/>
  <sheetViews>
    <sheetView zoomScale="181" workbookViewId="0">
      <pane ySplit="4" topLeftCell="A5" activePane="bottomLeft" state="frozen"/>
      <selection pane="bottomLeft" activeCell="F21" sqref="F21"/>
    </sheetView>
  </sheetViews>
  <sheetFormatPr baseColWidth="10" defaultRowHeight="16" x14ac:dyDescent="0.2"/>
  <cols>
    <col min="1" max="1" width="18.6640625" customWidth="1"/>
    <col min="2" max="2" width="9.5" bestFit="1" customWidth="1"/>
    <col min="3" max="3" width="9.6640625" bestFit="1" customWidth="1"/>
    <col min="4" max="4" width="13.6640625" bestFit="1" customWidth="1"/>
    <col min="5" max="5" width="15.1640625" bestFit="1" customWidth="1"/>
  </cols>
  <sheetData>
    <row r="1" spans="1:5" ht="19" x14ac:dyDescent="0.25">
      <c r="A1" s="3" t="s">
        <v>342</v>
      </c>
    </row>
    <row r="2" spans="1:5" x14ac:dyDescent="0.2">
      <c r="A2" s="4" t="s">
        <v>343</v>
      </c>
    </row>
    <row r="4" spans="1:5" x14ac:dyDescent="0.2">
      <c r="A4" s="1" t="s">
        <v>344</v>
      </c>
      <c r="B4" s="1" t="s">
        <v>345</v>
      </c>
      <c r="C4" s="1" t="s">
        <v>346</v>
      </c>
      <c r="D4" s="1" t="s">
        <v>347</v>
      </c>
      <c r="E4" s="1" t="s">
        <v>348</v>
      </c>
    </row>
    <row r="5" spans="1:5" x14ac:dyDescent="0.2">
      <c r="A5" t="s">
        <v>39</v>
      </c>
      <c r="B5" t="s">
        <v>349</v>
      </c>
      <c r="C5">
        <v>88</v>
      </c>
      <c r="D5">
        <v>82</v>
      </c>
      <c r="E5">
        <v>6</v>
      </c>
    </row>
    <row r="6" spans="1:5" x14ac:dyDescent="0.2">
      <c r="A6" t="s">
        <v>43</v>
      </c>
      <c r="B6" t="s">
        <v>350</v>
      </c>
      <c r="C6">
        <v>60</v>
      </c>
      <c r="D6">
        <v>71</v>
      </c>
      <c r="E6">
        <v>3</v>
      </c>
    </row>
    <row r="7" spans="1:5" x14ac:dyDescent="0.2">
      <c r="A7" t="s">
        <v>47</v>
      </c>
      <c r="B7" t="s">
        <v>349</v>
      </c>
      <c r="C7">
        <v>74</v>
      </c>
      <c r="D7">
        <v>79</v>
      </c>
      <c r="E7">
        <v>8</v>
      </c>
    </row>
    <row r="8" spans="1:5" x14ac:dyDescent="0.2">
      <c r="A8" t="s">
        <v>51</v>
      </c>
      <c r="B8" t="s">
        <v>351</v>
      </c>
      <c r="C8">
        <v>52</v>
      </c>
      <c r="D8">
        <v>64</v>
      </c>
      <c r="E8">
        <v>2</v>
      </c>
    </row>
    <row r="9" spans="1:5" x14ac:dyDescent="0.2">
      <c r="A9" t="s">
        <v>53</v>
      </c>
      <c r="B9" t="s">
        <v>350</v>
      </c>
      <c r="C9">
        <v>80</v>
      </c>
      <c r="D9">
        <v>85</v>
      </c>
      <c r="E9">
        <v>11</v>
      </c>
    </row>
    <row r="10" spans="1:5" x14ac:dyDescent="0.2">
      <c r="A10" t="s">
        <v>57</v>
      </c>
      <c r="B10" t="s">
        <v>349</v>
      </c>
      <c r="C10">
        <v>67</v>
      </c>
      <c r="D10">
        <v>58</v>
      </c>
      <c r="E10">
        <v>4</v>
      </c>
    </row>
    <row r="11" spans="1:5" x14ac:dyDescent="0.2">
      <c r="A11" t="s">
        <v>59</v>
      </c>
      <c r="B11" t="s">
        <v>351</v>
      </c>
      <c r="C11">
        <v>95</v>
      </c>
      <c r="D11">
        <v>90</v>
      </c>
      <c r="E11">
        <v>9</v>
      </c>
    </row>
    <row r="12" spans="1:5" x14ac:dyDescent="0.2">
      <c r="A12" t="s">
        <v>61</v>
      </c>
      <c r="B12" t="s">
        <v>350</v>
      </c>
      <c r="C12">
        <v>71</v>
      </c>
      <c r="D12">
        <v>68</v>
      </c>
      <c r="E12">
        <v>5</v>
      </c>
    </row>
    <row r="13" spans="1:5" x14ac:dyDescent="0.2">
      <c r="A13" t="s">
        <v>64</v>
      </c>
      <c r="B13" t="s">
        <v>349</v>
      </c>
      <c r="C13">
        <v>45</v>
      </c>
      <c r="D13">
        <v>55</v>
      </c>
      <c r="E13">
        <v>1</v>
      </c>
    </row>
    <row r="14" spans="1:5" x14ac:dyDescent="0.2">
      <c r="A14" t="s">
        <v>66</v>
      </c>
      <c r="B14" t="s">
        <v>351</v>
      </c>
      <c r="C14">
        <v>78</v>
      </c>
      <c r="D14">
        <v>73</v>
      </c>
      <c r="E14">
        <v>7</v>
      </c>
    </row>
    <row r="15" spans="1:5" x14ac:dyDescent="0.2">
      <c r="A15" t="s">
        <v>67</v>
      </c>
      <c r="B15" t="s">
        <v>350</v>
      </c>
      <c r="C15">
        <v>83</v>
      </c>
      <c r="D15">
        <v>91</v>
      </c>
      <c r="E15">
        <v>12</v>
      </c>
    </row>
    <row r="16" spans="1:5" x14ac:dyDescent="0.2">
      <c r="A16" t="s">
        <v>68</v>
      </c>
      <c r="B16" t="s">
        <v>349</v>
      </c>
      <c r="C16">
        <v>62</v>
      </c>
      <c r="D16">
        <v>60</v>
      </c>
      <c r="E16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80D1-9AA3-6943-97A4-BEE38CA64202}">
  <dimension ref="A1:E16"/>
  <sheetViews>
    <sheetView zoomScale="175" workbookViewId="0">
      <pane ySplit="4" topLeftCell="A5" activePane="bottomLeft" state="frozen"/>
      <selection pane="bottomLeft" activeCell="G16" sqref="G16"/>
    </sheetView>
  </sheetViews>
  <sheetFormatPr baseColWidth="10" defaultRowHeight="16" x14ac:dyDescent="0.2"/>
  <cols>
    <col min="1" max="1" width="13.1640625" customWidth="1"/>
    <col min="2" max="2" width="14.1640625" bestFit="1" customWidth="1"/>
    <col min="4" max="5" width="12" bestFit="1" customWidth="1"/>
  </cols>
  <sheetData>
    <row r="1" spans="1:5" ht="19" x14ac:dyDescent="0.25">
      <c r="A1" s="3" t="s">
        <v>352</v>
      </c>
    </row>
    <row r="2" spans="1:5" x14ac:dyDescent="0.2">
      <c r="A2" s="4" t="s">
        <v>353</v>
      </c>
    </row>
    <row r="4" spans="1:5" x14ac:dyDescent="0.2">
      <c r="A4" s="1" t="s">
        <v>69</v>
      </c>
      <c r="B4" s="1" t="s">
        <v>70</v>
      </c>
      <c r="C4" s="1" t="s">
        <v>71</v>
      </c>
      <c r="D4" s="1" t="s">
        <v>354</v>
      </c>
      <c r="E4" s="1" t="s">
        <v>73</v>
      </c>
    </row>
    <row r="5" spans="1:5" x14ac:dyDescent="0.2">
      <c r="A5" t="s">
        <v>75</v>
      </c>
      <c r="B5" t="s">
        <v>309</v>
      </c>
      <c r="C5" t="s">
        <v>20</v>
      </c>
      <c r="D5" t="s">
        <v>355</v>
      </c>
      <c r="E5">
        <v>88</v>
      </c>
    </row>
    <row r="6" spans="1:5" x14ac:dyDescent="0.2">
      <c r="A6" t="s">
        <v>77</v>
      </c>
      <c r="B6" t="s">
        <v>310</v>
      </c>
      <c r="C6" t="s">
        <v>20</v>
      </c>
      <c r="D6" t="s">
        <v>355</v>
      </c>
      <c r="E6">
        <v>74</v>
      </c>
    </row>
    <row r="7" spans="1:5" x14ac:dyDescent="0.2">
      <c r="A7" t="s">
        <v>79</v>
      </c>
      <c r="B7" t="s">
        <v>311</v>
      </c>
      <c r="C7" t="s">
        <v>12</v>
      </c>
      <c r="D7" t="s">
        <v>355</v>
      </c>
      <c r="E7">
        <v>85</v>
      </c>
    </row>
    <row r="8" spans="1:5" x14ac:dyDescent="0.2">
      <c r="A8" t="s">
        <v>81</v>
      </c>
      <c r="B8" t="s">
        <v>312</v>
      </c>
      <c r="C8" t="s">
        <v>12</v>
      </c>
      <c r="D8" t="s">
        <v>356</v>
      </c>
      <c r="E8">
        <v>65</v>
      </c>
    </row>
    <row r="9" spans="1:5" x14ac:dyDescent="0.2">
      <c r="A9" t="s">
        <v>82</v>
      </c>
      <c r="B9" t="s">
        <v>313</v>
      </c>
      <c r="C9" t="s">
        <v>16</v>
      </c>
      <c r="D9" t="s">
        <v>355</v>
      </c>
      <c r="E9">
        <v>82</v>
      </c>
    </row>
    <row r="10" spans="1:5" x14ac:dyDescent="0.2">
      <c r="A10" t="s">
        <v>84</v>
      </c>
      <c r="B10" t="s">
        <v>314</v>
      </c>
      <c r="C10" t="s">
        <v>16</v>
      </c>
      <c r="D10" t="s">
        <v>355</v>
      </c>
      <c r="E10">
        <v>95</v>
      </c>
    </row>
    <row r="11" spans="1:5" x14ac:dyDescent="0.2">
      <c r="A11" t="s">
        <v>86</v>
      </c>
      <c r="B11" t="s">
        <v>315</v>
      </c>
      <c r="C11" t="s">
        <v>20</v>
      </c>
      <c r="D11" t="s">
        <v>356</v>
      </c>
      <c r="E11">
        <v>58</v>
      </c>
    </row>
    <row r="12" spans="1:5" x14ac:dyDescent="0.2">
      <c r="A12" t="s">
        <v>88</v>
      </c>
      <c r="B12" t="s">
        <v>316</v>
      </c>
      <c r="C12" t="s">
        <v>16</v>
      </c>
      <c r="D12" t="s">
        <v>355</v>
      </c>
      <c r="E12">
        <v>77</v>
      </c>
    </row>
    <row r="13" spans="1:5" x14ac:dyDescent="0.2">
      <c r="A13" t="s">
        <v>90</v>
      </c>
      <c r="B13" t="s">
        <v>317</v>
      </c>
      <c r="C13" t="s">
        <v>12</v>
      </c>
      <c r="D13" t="s">
        <v>355</v>
      </c>
      <c r="E13">
        <v>69</v>
      </c>
    </row>
    <row r="14" spans="1:5" x14ac:dyDescent="0.2">
      <c r="A14" t="s">
        <v>91</v>
      </c>
      <c r="B14" t="s">
        <v>318</v>
      </c>
      <c r="C14" t="s">
        <v>20</v>
      </c>
      <c r="D14" t="s">
        <v>355</v>
      </c>
      <c r="E14">
        <v>85</v>
      </c>
    </row>
    <row r="15" spans="1:5" x14ac:dyDescent="0.2">
      <c r="A15" t="s">
        <v>93</v>
      </c>
      <c r="B15" t="s">
        <v>319</v>
      </c>
      <c r="C15" t="s">
        <v>20</v>
      </c>
      <c r="D15" t="s">
        <v>356</v>
      </c>
      <c r="E15">
        <v>52</v>
      </c>
    </row>
    <row r="16" spans="1:5" x14ac:dyDescent="0.2">
      <c r="A16" t="s">
        <v>95</v>
      </c>
      <c r="B16" t="s">
        <v>357</v>
      </c>
      <c r="C16" t="s">
        <v>12</v>
      </c>
      <c r="D16" t="s">
        <v>355</v>
      </c>
      <c r="E16">
        <v>93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BBDA1-F18B-CA4A-B653-A5C5D0D5AA1F}">
  <dimension ref="A1:D16"/>
  <sheetViews>
    <sheetView zoomScale="179" workbookViewId="0">
      <pane ySplit="4" topLeftCell="A5" activePane="bottomLeft" state="frozen"/>
      <selection pane="bottomLeft" activeCell="F15" sqref="F15"/>
    </sheetView>
  </sheetViews>
  <sheetFormatPr baseColWidth="10" defaultRowHeight="16" x14ac:dyDescent="0.2"/>
  <cols>
    <col min="1" max="1" width="12.6640625" customWidth="1"/>
    <col min="2" max="2" width="22.33203125" bestFit="1" customWidth="1"/>
    <col min="4" max="4" width="9" bestFit="1" customWidth="1"/>
  </cols>
  <sheetData>
    <row r="1" spans="1:4" ht="19" x14ac:dyDescent="0.25">
      <c r="A1" s="12" t="s">
        <v>358</v>
      </c>
      <c r="B1" s="13"/>
      <c r="C1" s="13"/>
      <c r="D1" s="13"/>
    </row>
    <row r="2" spans="1:4" x14ac:dyDescent="0.2">
      <c r="A2" s="14" t="s">
        <v>359</v>
      </c>
      <c r="B2" s="13"/>
      <c r="C2" s="13"/>
      <c r="D2" s="13"/>
    </row>
    <row r="3" spans="1:4" x14ac:dyDescent="0.2">
      <c r="A3" s="13"/>
      <c r="B3" s="13"/>
      <c r="C3" s="13"/>
      <c r="D3" s="13"/>
    </row>
    <row r="4" spans="1:4" x14ac:dyDescent="0.2">
      <c r="A4" s="15" t="s">
        <v>360</v>
      </c>
      <c r="B4" s="15" t="s">
        <v>70</v>
      </c>
      <c r="C4" s="15" t="s">
        <v>5</v>
      </c>
      <c r="D4" s="15" t="s">
        <v>361</v>
      </c>
    </row>
    <row r="5" spans="1:4" x14ac:dyDescent="0.2">
      <c r="A5" s="13" t="s">
        <v>362</v>
      </c>
      <c r="B5" s="13" t="s">
        <v>76</v>
      </c>
      <c r="C5" s="13" t="s">
        <v>20</v>
      </c>
      <c r="D5" s="16">
        <v>62</v>
      </c>
    </row>
    <row r="6" spans="1:4" x14ac:dyDescent="0.2">
      <c r="A6" s="13" t="s">
        <v>363</v>
      </c>
      <c r="B6" s="13" t="s">
        <v>78</v>
      </c>
      <c r="C6" s="13" t="s">
        <v>20</v>
      </c>
      <c r="D6" s="16">
        <v>24.5</v>
      </c>
    </row>
    <row r="7" spans="1:4" x14ac:dyDescent="0.2">
      <c r="A7" s="13" t="s">
        <v>364</v>
      </c>
      <c r="B7" s="13" t="s">
        <v>80</v>
      </c>
      <c r="C7" s="13" t="s">
        <v>12</v>
      </c>
      <c r="D7" s="16">
        <v>319</v>
      </c>
    </row>
    <row r="8" spans="1:4" x14ac:dyDescent="0.2">
      <c r="A8" s="13" t="s">
        <v>365</v>
      </c>
      <c r="B8" s="13" t="s">
        <v>366</v>
      </c>
      <c r="C8" s="13" t="s">
        <v>12</v>
      </c>
      <c r="D8" s="16">
        <v>289</v>
      </c>
    </row>
    <row r="9" spans="1:4" x14ac:dyDescent="0.2">
      <c r="A9" s="13" t="s">
        <v>367</v>
      </c>
      <c r="B9" s="13" t="s">
        <v>83</v>
      </c>
      <c r="C9" s="13" t="s">
        <v>16</v>
      </c>
      <c r="D9" s="16">
        <v>145</v>
      </c>
    </row>
    <row r="10" spans="1:4" x14ac:dyDescent="0.2">
      <c r="A10" s="13" t="s">
        <v>368</v>
      </c>
      <c r="B10" s="13" t="s">
        <v>85</v>
      </c>
      <c r="C10" s="13" t="s">
        <v>16</v>
      </c>
      <c r="D10" s="16">
        <v>520</v>
      </c>
    </row>
    <row r="11" spans="1:4" x14ac:dyDescent="0.2">
      <c r="A11" s="13" t="s">
        <v>369</v>
      </c>
      <c r="B11" s="13" t="s">
        <v>87</v>
      </c>
      <c r="C11" s="13" t="s">
        <v>20</v>
      </c>
      <c r="D11" s="16">
        <v>130</v>
      </c>
    </row>
    <row r="12" spans="1:4" x14ac:dyDescent="0.2">
      <c r="A12" s="13" t="s">
        <v>370</v>
      </c>
      <c r="B12" s="13" t="s">
        <v>89</v>
      </c>
      <c r="C12" s="13" t="s">
        <v>16</v>
      </c>
      <c r="D12" s="16">
        <v>48</v>
      </c>
    </row>
    <row r="13" spans="1:4" x14ac:dyDescent="0.2">
      <c r="A13" s="13" t="s">
        <v>371</v>
      </c>
      <c r="B13" s="13" t="s">
        <v>372</v>
      </c>
      <c r="C13" s="13" t="s">
        <v>12</v>
      </c>
      <c r="D13" s="16">
        <v>180</v>
      </c>
    </row>
    <row r="14" spans="1:4" x14ac:dyDescent="0.2">
      <c r="A14" s="13" t="s">
        <v>373</v>
      </c>
      <c r="B14" s="13" t="s">
        <v>92</v>
      </c>
      <c r="C14" s="13" t="s">
        <v>20</v>
      </c>
      <c r="D14" s="16">
        <v>80</v>
      </c>
    </row>
    <row r="15" spans="1:4" x14ac:dyDescent="0.2">
      <c r="A15" s="13" t="s">
        <v>374</v>
      </c>
      <c r="B15" s="13" t="s">
        <v>94</v>
      </c>
      <c r="C15" s="13" t="s">
        <v>20</v>
      </c>
      <c r="D15" s="16">
        <v>15</v>
      </c>
    </row>
    <row r="16" spans="1:4" x14ac:dyDescent="0.2">
      <c r="A16" s="13" t="s">
        <v>375</v>
      </c>
      <c r="B16" s="13" t="s">
        <v>376</v>
      </c>
      <c r="C16" s="13" t="s">
        <v>16</v>
      </c>
      <c r="D16" s="16">
        <v>95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92C25-8D0B-4048-B387-5B136EFCE9B8}">
  <dimension ref="A1:E16"/>
  <sheetViews>
    <sheetView zoomScale="160" zoomScaleNormal="160" workbookViewId="0">
      <pane ySplit="4" topLeftCell="A5" activePane="bottomLeft" state="frozen"/>
      <selection pane="bottomLeft" activeCell="G15" sqref="G15"/>
    </sheetView>
  </sheetViews>
  <sheetFormatPr baseColWidth="10" defaultRowHeight="16" x14ac:dyDescent="0.2"/>
  <cols>
    <col min="1" max="1" width="10.1640625" customWidth="1"/>
    <col min="2" max="2" width="23" bestFit="1" customWidth="1"/>
    <col min="3" max="3" width="10.5" bestFit="1" customWidth="1"/>
    <col min="4" max="4" width="12.5" bestFit="1" customWidth="1"/>
    <col min="5" max="5" width="9.83203125" bestFit="1" customWidth="1"/>
  </cols>
  <sheetData>
    <row r="1" spans="1:5" ht="19" x14ac:dyDescent="0.25">
      <c r="A1" s="3" t="s">
        <v>377</v>
      </c>
    </row>
    <row r="2" spans="1:5" x14ac:dyDescent="0.2">
      <c r="A2" s="4" t="s">
        <v>378</v>
      </c>
    </row>
    <row r="4" spans="1:5" x14ac:dyDescent="0.2">
      <c r="A4" s="1" t="s">
        <v>379</v>
      </c>
      <c r="B4" s="1" t="s">
        <v>380</v>
      </c>
      <c r="C4" s="1" t="s">
        <v>381</v>
      </c>
      <c r="D4" s="1" t="s">
        <v>382</v>
      </c>
      <c r="E4" s="1" t="s">
        <v>354</v>
      </c>
    </row>
    <row r="5" spans="1:5" x14ac:dyDescent="0.2">
      <c r="A5" t="s">
        <v>383</v>
      </c>
      <c r="B5" t="s">
        <v>384</v>
      </c>
      <c r="C5" s="2">
        <f ca="1">TODAY()-1</f>
        <v>46245</v>
      </c>
      <c r="D5" t="s">
        <v>39</v>
      </c>
      <c r="E5" t="s">
        <v>385</v>
      </c>
    </row>
    <row r="6" spans="1:5" x14ac:dyDescent="0.2">
      <c r="A6" t="s">
        <v>386</v>
      </c>
      <c r="B6" t="s">
        <v>387</v>
      </c>
      <c r="C6" s="2">
        <f ca="1">TODAY()</f>
        <v>46246</v>
      </c>
      <c r="D6" t="s">
        <v>43</v>
      </c>
      <c r="E6" t="s">
        <v>388</v>
      </c>
    </row>
    <row r="7" spans="1:5" x14ac:dyDescent="0.2">
      <c r="A7" t="s">
        <v>389</v>
      </c>
      <c r="B7" t="s">
        <v>390</v>
      </c>
      <c r="C7" s="2">
        <f ca="1">TODAY()+1</f>
        <v>46247</v>
      </c>
      <c r="D7" t="s">
        <v>47</v>
      </c>
      <c r="E7" t="s">
        <v>391</v>
      </c>
    </row>
    <row r="8" spans="1:5" x14ac:dyDescent="0.2">
      <c r="A8" t="s">
        <v>392</v>
      </c>
      <c r="B8" t="s">
        <v>393</v>
      </c>
      <c r="C8" s="2">
        <f ca="1">TODAY()-4</f>
        <v>46242</v>
      </c>
      <c r="D8" t="s">
        <v>51</v>
      </c>
      <c r="E8" t="s">
        <v>385</v>
      </c>
    </row>
    <row r="9" spans="1:5" x14ac:dyDescent="0.2">
      <c r="A9" t="s">
        <v>394</v>
      </c>
      <c r="B9" t="s">
        <v>395</v>
      </c>
      <c r="C9" s="2">
        <f ca="1">TODAY()+3</f>
        <v>46249</v>
      </c>
      <c r="D9" t="s">
        <v>53</v>
      </c>
      <c r="E9" t="s">
        <v>391</v>
      </c>
    </row>
    <row r="10" spans="1:5" x14ac:dyDescent="0.2">
      <c r="A10" t="s">
        <v>396</v>
      </c>
      <c r="B10" t="s">
        <v>397</v>
      </c>
      <c r="C10" s="2">
        <f ca="1">TODAY()-9</f>
        <v>46237</v>
      </c>
      <c r="D10" t="s">
        <v>57</v>
      </c>
      <c r="E10" t="s">
        <v>385</v>
      </c>
    </row>
    <row r="11" spans="1:5" x14ac:dyDescent="0.2">
      <c r="A11" t="s">
        <v>398</v>
      </c>
      <c r="B11" t="s">
        <v>399</v>
      </c>
      <c r="C11" s="2">
        <f ca="1">TODAY()+8</f>
        <v>46254</v>
      </c>
      <c r="D11" t="s">
        <v>59</v>
      </c>
      <c r="E11" t="s">
        <v>391</v>
      </c>
    </row>
    <row r="12" spans="1:5" x14ac:dyDescent="0.2">
      <c r="A12" t="s">
        <v>400</v>
      </c>
      <c r="B12" t="s">
        <v>401</v>
      </c>
      <c r="C12" s="2">
        <f ca="1">TODAY()-16</f>
        <v>46230</v>
      </c>
      <c r="D12" t="s">
        <v>61</v>
      </c>
      <c r="E12" t="s">
        <v>385</v>
      </c>
    </row>
    <row r="13" spans="1:5" x14ac:dyDescent="0.2">
      <c r="A13" t="s">
        <v>402</v>
      </c>
      <c r="B13" t="s">
        <v>403</v>
      </c>
      <c r="C13" s="2">
        <f ca="1">TODAY()+15</f>
        <v>46261</v>
      </c>
      <c r="D13" t="s">
        <v>64</v>
      </c>
      <c r="E13" t="s">
        <v>391</v>
      </c>
    </row>
    <row r="14" spans="1:5" x14ac:dyDescent="0.2">
      <c r="A14" t="s">
        <v>404</v>
      </c>
      <c r="B14" t="s">
        <v>405</v>
      </c>
      <c r="C14" s="2">
        <f ca="1">TODAY()-25</f>
        <v>46221</v>
      </c>
      <c r="D14" t="s">
        <v>66</v>
      </c>
      <c r="E14" t="s">
        <v>385</v>
      </c>
    </row>
    <row r="15" spans="1:5" x14ac:dyDescent="0.2">
      <c r="A15" t="s">
        <v>406</v>
      </c>
      <c r="B15" t="s">
        <v>407</v>
      </c>
      <c r="C15" s="2">
        <f ca="1">TODAY()+24</f>
        <v>46270</v>
      </c>
      <c r="D15" t="s">
        <v>67</v>
      </c>
      <c r="E15" t="s">
        <v>391</v>
      </c>
    </row>
    <row r="16" spans="1:5" x14ac:dyDescent="0.2">
      <c r="A16" t="s">
        <v>408</v>
      </c>
      <c r="B16" t="s">
        <v>409</v>
      </c>
      <c r="C16" s="2">
        <f ca="1">TODAY()+40</f>
        <v>46286</v>
      </c>
      <c r="D16" t="s">
        <v>68</v>
      </c>
      <c r="E16" t="s">
        <v>391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5119-A376-884F-91A4-0AD1210AAC41}">
  <dimension ref="A1:D16"/>
  <sheetViews>
    <sheetView zoomScale="165" zoomScaleNormal="165" workbookViewId="0">
      <pane ySplit="4" topLeftCell="A5" activePane="bottomLeft" state="frozen"/>
      <selection pane="bottomLeft" activeCell="E12" sqref="E12"/>
    </sheetView>
  </sheetViews>
  <sheetFormatPr baseColWidth="10" defaultRowHeight="16" x14ac:dyDescent="0.2"/>
  <cols>
    <col min="1" max="1" width="9.1640625" customWidth="1"/>
    <col min="2" max="2" width="14.5" bestFit="1" customWidth="1"/>
    <col min="3" max="3" width="22.83203125" bestFit="1" customWidth="1"/>
    <col min="4" max="4" width="11.1640625" bestFit="1" customWidth="1"/>
  </cols>
  <sheetData>
    <row r="1" spans="1:4" ht="19" x14ac:dyDescent="0.25">
      <c r="A1" s="3" t="s">
        <v>410</v>
      </c>
    </row>
    <row r="2" spans="1:4" x14ac:dyDescent="0.2">
      <c r="A2" s="4" t="s">
        <v>411</v>
      </c>
    </row>
    <row r="4" spans="1:4" x14ac:dyDescent="0.2">
      <c r="A4" s="1" t="s">
        <v>412</v>
      </c>
      <c r="B4" s="1" t="s">
        <v>413</v>
      </c>
      <c r="C4" s="1" t="s">
        <v>414</v>
      </c>
      <c r="D4" s="1" t="s">
        <v>265</v>
      </c>
    </row>
    <row r="5" spans="1:4" x14ac:dyDescent="0.2">
      <c r="A5" t="s">
        <v>415</v>
      </c>
      <c r="B5" t="s">
        <v>416</v>
      </c>
      <c r="C5" t="s">
        <v>417</v>
      </c>
      <c r="D5" t="s">
        <v>270</v>
      </c>
    </row>
    <row r="6" spans="1:4" x14ac:dyDescent="0.2">
      <c r="A6" t="s">
        <v>418</v>
      </c>
      <c r="B6" t="s">
        <v>419</v>
      </c>
      <c r="C6" t="s">
        <v>420</v>
      </c>
      <c r="D6" t="s">
        <v>421</v>
      </c>
    </row>
    <row r="7" spans="1:4" x14ac:dyDescent="0.2">
      <c r="A7" t="s">
        <v>422</v>
      </c>
      <c r="B7" t="s">
        <v>423</v>
      </c>
      <c r="C7" t="s">
        <v>424</v>
      </c>
      <c r="D7" t="s">
        <v>425</v>
      </c>
    </row>
    <row r="8" spans="1:4" x14ac:dyDescent="0.2">
      <c r="A8" t="s">
        <v>426</v>
      </c>
      <c r="B8" t="s">
        <v>427</v>
      </c>
      <c r="C8" t="s">
        <v>428</v>
      </c>
      <c r="D8" t="s">
        <v>272</v>
      </c>
    </row>
    <row r="9" spans="1:4" x14ac:dyDescent="0.2">
      <c r="A9" t="s">
        <v>418</v>
      </c>
      <c r="B9" t="s">
        <v>419</v>
      </c>
      <c r="C9" t="s">
        <v>420</v>
      </c>
      <c r="D9" t="s">
        <v>421</v>
      </c>
    </row>
    <row r="10" spans="1:4" x14ac:dyDescent="0.2">
      <c r="A10" t="s">
        <v>429</v>
      </c>
      <c r="B10" t="s">
        <v>430</v>
      </c>
      <c r="C10" t="s">
        <v>431</v>
      </c>
      <c r="D10" t="s">
        <v>278</v>
      </c>
    </row>
    <row r="11" spans="1:4" x14ac:dyDescent="0.2">
      <c r="A11" t="s">
        <v>432</v>
      </c>
      <c r="B11" t="s">
        <v>433</v>
      </c>
      <c r="C11" t="s">
        <v>434</v>
      </c>
      <c r="D11" t="s">
        <v>279</v>
      </c>
    </row>
    <row r="12" spans="1:4" x14ac:dyDescent="0.2">
      <c r="A12" t="s">
        <v>435</v>
      </c>
      <c r="B12" t="s">
        <v>436</v>
      </c>
      <c r="C12" t="s">
        <v>437</v>
      </c>
      <c r="D12" t="s">
        <v>276</v>
      </c>
    </row>
    <row r="13" spans="1:4" x14ac:dyDescent="0.2">
      <c r="A13" t="s">
        <v>429</v>
      </c>
      <c r="B13" t="s">
        <v>430</v>
      </c>
      <c r="C13" t="s">
        <v>431</v>
      </c>
      <c r="D13" t="s">
        <v>278</v>
      </c>
    </row>
    <row r="14" spans="1:4" x14ac:dyDescent="0.2">
      <c r="A14" t="s">
        <v>438</v>
      </c>
      <c r="B14" t="s">
        <v>439</v>
      </c>
      <c r="C14" t="s">
        <v>440</v>
      </c>
      <c r="D14" t="s">
        <v>273</v>
      </c>
    </row>
    <row r="15" spans="1:4" x14ac:dyDescent="0.2">
      <c r="A15" t="s">
        <v>441</v>
      </c>
      <c r="B15" t="s">
        <v>442</v>
      </c>
      <c r="C15" t="s">
        <v>443</v>
      </c>
      <c r="D15" t="s">
        <v>274</v>
      </c>
    </row>
    <row r="16" spans="1:4" x14ac:dyDescent="0.2">
      <c r="A16" t="s">
        <v>438</v>
      </c>
      <c r="B16" t="s">
        <v>439</v>
      </c>
      <c r="C16" t="s">
        <v>440</v>
      </c>
      <c r="D16" t="s">
        <v>273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F5C38-5059-EC42-B815-7693D0728BC3}">
  <dimension ref="A1:E19"/>
  <sheetViews>
    <sheetView zoomScale="158" workbookViewId="0">
      <pane ySplit="4" topLeftCell="A5" activePane="bottomLeft" state="frozen"/>
      <selection pane="bottomLeft" activeCell="H25" sqref="H25"/>
    </sheetView>
  </sheetViews>
  <sheetFormatPr baseColWidth="10" defaultRowHeight="16" x14ac:dyDescent="0.2"/>
  <cols>
    <col min="1" max="1" width="12.33203125" customWidth="1"/>
    <col min="2" max="2" width="12.5" bestFit="1" customWidth="1"/>
    <col min="3" max="3" width="6.83203125" bestFit="1" customWidth="1"/>
    <col min="4" max="4" width="9.33203125" bestFit="1" customWidth="1"/>
    <col min="5" max="5" width="12.1640625" bestFit="1" customWidth="1"/>
  </cols>
  <sheetData>
    <row r="1" spans="1:5" ht="19" x14ac:dyDescent="0.25">
      <c r="A1" s="12" t="s">
        <v>444</v>
      </c>
      <c r="B1" s="13"/>
      <c r="C1" s="13"/>
      <c r="D1" s="13"/>
      <c r="E1" s="13"/>
    </row>
    <row r="2" spans="1:5" x14ac:dyDescent="0.2">
      <c r="A2" s="14" t="s">
        <v>445</v>
      </c>
      <c r="B2" s="13"/>
      <c r="C2" s="13"/>
      <c r="D2" s="13"/>
      <c r="E2" s="13"/>
    </row>
    <row r="3" spans="1:5" x14ac:dyDescent="0.2">
      <c r="A3" s="13"/>
      <c r="B3" s="13"/>
      <c r="C3" s="13"/>
      <c r="D3" s="13"/>
      <c r="E3" s="13"/>
    </row>
    <row r="4" spans="1:5" x14ac:dyDescent="0.2">
      <c r="A4" s="15" t="s">
        <v>446</v>
      </c>
      <c r="B4" s="15" t="s">
        <v>3</v>
      </c>
      <c r="C4" s="15" t="s">
        <v>2</v>
      </c>
      <c r="D4" s="15" t="s">
        <v>8</v>
      </c>
      <c r="E4" s="15" t="s">
        <v>447</v>
      </c>
    </row>
    <row r="5" spans="1:5" x14ac:dyDescent="0.2">
      <c r="A5" s="13" t="s">
        <v>448</v>
      </c>
      <c r="B5" s="13" t="s">
        <v>39</v>
      </c>
      <c r="C5" s="13" t="s">
        <v>9</v>
      </c>
      <c r="D5" s="17">
        <v>184000</v>
      </c>
      <c r="E5" s="13">
        <v>32</v>
      </c>
    </row>
    <row r="6" spans="1:5" x14ac:dyDescent="0.2">
      <c r="A6" s="13" t="s">
        <v>449</v>
      </c>
      <c r="B6" s="13" t="s">
        <v>43</v>
      </c>
      <c r="C6" s="13" t="s">
        <v>13</v>
      </c>
      <c r="D6" s="17">
        <v>96500</v>
      </c>
      <c r="E6" s="13">
        <v>18</v>
      </c>
    </row>
    <row r="7" spans="1:5" x14ac:dyDescent="0.2">
      <c r="A7" s="13" t="s">
        <v>450</v>
      </c>
      <c r="B7" s="13" t="s">
        <v>47</v>
      </c>
      <c r="C7" s="13" t="s">
        <v>17</v>
      </c>
      <c r="D7" s="17">
        <v>231000</v>
      </c>
      <c r="E7" s="13">
        <v>41</v>
      </c>
    </row>
    <row r="8" spans="1:5" x14ac:dyDescent="0.2">
      <c r="A8" s="13" t="s">
        <v>451</v>
      </c>
      <c r="B8" s="13" t="s">
        <v>51</v>
      </c>
      <c r="C8" s="13" t="s">
        <v>21</v>
      </c>
      <c r="D8" s="17">
        <v>142000</v>
      </c>
      <c r="E8" s="13">
        <v>27</v>
      </c>
    </row>
    <row r="9" spans="1:5" x14ac:dyDescent="0.2">
      <c r="A9" s="13" t="s">
        <v>452</v>
      </c>
      <c r="B9" s="13" t="s">
        <v>53</v>
      </c>
      <c r="C9" s="13" t="s">
        <v>9</v>
      </c>
      <c r="D9" s="17">
        <v>78500</v>
      </c>
      <c r="E9" s="13">
        <v>14</v>
      </c>
    </row>
    <row r="10" spans="1:5" x14ac:dyDescent="0.2">
      <c r="A10" s="13" t="s">
        <v>453</v>
      </c>
      <c r="B10" s="13" t="s">
        <v>57</v>
      </c>
      <c r="C10" s="13" t="s">
        <v>13</v>
      </c>
      <c r="D10" s="17">
        <v>205000</v>
      </c>
      <c r="E10" s="13">
        <v>36</v>
      </c>
    </row>
    <row r="11" spans="1:5" x14ac:dyDescent="0.2">
      <c r="A11" s="13" t="s">
        <v>454</v>
      </c>
      <c r="B11" s="13" t="s">
        <v>59</v>
      </c>
      <c r="C11" s="13" t="s">
        <v>17</v>
      </c>
      <c r="D11" s="17">
        <v>119000</v>
      </c>
      <c r="E11" s="13">
        <v>22</v>
      </c>
    </row>
    <row r="12" spans="1:5" x14ac:dyDescent="0.2">
      <c r="A12" s="13" t="s">
        <v>455</v>
      </c>
      <c r="B12" s="13" t="s">
        <v>61</v>
      </c>
      <c r="C12" s="13" t="s">
        <v>21</v>
      </c>
      <c r="D12" s="17">
        <v>167500</v>
      </c>
      <c r="E12" s="13">
        <v>30</v>
      </c>
    </row>
    <row r="13" spans="1:5" x14ac:dyDescent="0.2">
      <c r="A13" s="13" t="s">
        <v>456</v>
      </c>
      <c r="B13" s="13" t="s">
        <v>64</v>
      </c>
      <c r="C13" s="13" t="s">
        <v>9</v>
      </c>
      <c r="D13" s="17">
        <v>88000</v>
      </c>
      <c r="E13" s="13">
        <v>16</v>
      </c>
    </row>
    <row r="14" spans="1:5" x14ac:dyDescent="0.2">
      <c r="A14" s="13" t="s">
        <v>457</v>
      </c>
      <c r="B14" s="13" t="s">
        <v>66</v>
      </c>
      <c r="C14" s="13" t="s">
        <v>13</v>
      </c>
      <c r="D14" s="17">
        <v>254000</v>
      </c>
      <c r="E14" s="13">
        <v>45</v>
      </c>
    </row>
    <row r="15" spans="1:5" x14ac:dyDescent="0.2">
      <c r="A15" s="13" t="s">
        <v>458</v>
      </c>
      <c r="B15" s="13" t="s">
        <v>67</v>
      </c>
      <c r="C15" s="13" t="s">
        <v>17</v>
      </c>
      <c r="D15" s="17">
        <v>134500</v>
      </c>
      <c r="E15" s="13">
        <v>25</v>
      </c>
    </row>
    <row r="16" spans="1:5" x14ac:dyDescent="0.2">
      <c r="A16" s="13" t="s">
        <v>459</v>
      </c>
      <c r="B16" s="13" t="s">
        <v>68</v>
      </c>
      <c r="C16" s="13" t="s">
        <v>21</v>
      </c>
      <c r="D16" s="17">
        <v>61000</v>
      </c>
      <c r="E16" s="13">
        <v>11</v>
      </c>
    </row>
    <row r="17" spans="1:5" x14ac:dyDescent="0.2">
      <c r="A17" s="13" t="s">
        <v>460</v>
      </c>
      <c r="B17" s="13" t="s">
        <v>10</v>
      </c>
      <c r="C17" s="13" t="s">
        <v>9</v>
      </c>
      <c r="D17" s="17">
        <v>198000</v>
      </c>
      <c r="E17" s="13">
        <v>34</v>
      </c>
    </row>
    <row r="18" spans="1:5" x14ac:dyDescent="0.2">
      <c r="A18" s="13" t="s">
        <v>461</v>
      </c>
      <c r="B18" s="13" t="s">
        <v>14</v>
      </c>
      <c r="C18" s="13" t="s">
        <v>13</v>
      </c>
      <c r="D18" s="17">
        <v>107000</v>
      </c>
      <c r="E18" s="13">
        <v>20</v>
      </c>
    </row>
    <row r="19" spans="1:5" x14ac:dyDescent="0.2">
      <c r="A19" s="13" t="s">
        <v>462</v>
      </c>
      <c r="B19" s="13" t="s">
        <v>18</v>
      </c>
      <c r="C19" s="13" t="s">
        <v>17</v>
      </c>
      <c r="D19" s="17">
        <v>176000</v>
      </c>
      <c r="E19" s="13">
        <v>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0CB6B-6E92-DB47-91B2-DE4B9C0B06AE}">
  <dimension ref="A1:E19"/>
  <sheetViews>
    <sheetView zoomScale="143" workbookViewId="0">
      <pane ySplit="4" topLeftCell="A5" activePane="bottomLeft" state="frozen"/>
      <selection pane="bottomLeft" activeCell="H23" sqref="H23"/>
    </sheetView>
  </sheetViews>
  <sheetFormatPr baseColWidth="10" defaultRowHeight="16" x14ac:dyDescent="0.2"/>
  <cols>
    <col min="1" max="1" width="11" customWidth="1"/>
    <col min="2" max="2" width="12.5" bestFit="1" customWidth="1"/>
    <col min="3" max="3" width="7.5" bestFit="1" customWidth="1"/>
    <col min="4" max="4" width="17.1640625" bestFit="1" customWidth="1"/>
    <col min="5" max="5" width="8.1640625" bestFit="1" customWidth="1"/>
  </cols>
  <sheetData>
    <row r="1" spans="1:5" ht="19" x14ac:dyDescent="0.25">
      <c r="A1" s="3" t="s">
        <v>463</v>
      </c>
    </row>
    <row r="2" spans="1:5" x14ac:dyDescent="0.2">
      <c r="A2" s="4" t="s">
        <v>464</v>
      </c>
    </row>
    <row r="4" spans="1:5" x14ac:dyDescent="0.2">
      <c r="A4" s="1" t="s">
        <v>32</v>
      </c>
      <c r="B4" s="1" t="s">
        <v>465</v>
      </c>
      <c r="C4" s="1" t="s">
        <v>466</v>
      </c>
      <c r="D4" s="1" t="s">
        <v>467</v>
      </c>
      <c r="E4" s="1" t="s">
        <v>468</v>
      </c>
    </row>
    <row r="5" spans="1:5" x14ac:dyDescent="0.2">
      <c r="A5" t="s">
        <v>469</v>
      </c>
      <c r="B5" t="s">
        <v>39</v>
      </c>
      <c r="C5" t="s">
        <v>470</v>
      </c>
      <c r="D5">
        <v>88</v>
      </c>
      <c r="E5">
        <v>7</v>
      </c>
    </row>
    <row r="6" spans="1:5" x14ac:dyDescent="0.2">
      <c r="A6" t="s">
        <v>471</v>
      </c>
      <c r="B6" t="s">
        <v>43</v>
      </c>
      <c r="C6" t="s">
        <v>472</v>
      </c>
      <c r="D6">
        <v>64</v>
      </c>
      <c r="E6">
        <v>4</v>
      </c>
    </row>
    <row r="7" spans="1:5" x14ac:dyDescent="0.2">
      <c r="A7" t="s">
        <v>473</v>
      </c>
      <c r="B7" t="s">
        <v>47</v>
      </c>
      <c r="C7" t="s">
        <v>470</v>
      </c>
      <c r="D7">
        <v>91</v>
      </c>
      <c r="E7">
        <v>9</v>
      </c>
    </row>
    <row r="8" spans="1:5" x14ac:dyDescent="0.2">
      <c r="A8" t="s">
        <v>474</v>
      </c>
      <c r="B8" t="s">
        <v>51</v>
      </c>
      <c r="C8" t="s">
        <v>475</v>
      </c>
      <c r="D8">
        <v>57</v>
      </c>
      <c r="E8">
        <v>3</v>
      </c>
    </row>
    <row r="9" spans="1:5" x14ac:dyDescent="0.2">
      <c r="A9" t="s">
        <v>476</v>
      </c>
      <c r="B9" t="s">
        <v>53</v>
      </c>
      <c r="C9" t="s">
        <v>472</v>
      </c>
      <c r="D9">
        <v>76</v>
      </c>
      <c r="E9">
        <v>6</v>
      </c>
    </row>
    <row r="10" spans="1:5" x14ac:dyDescent="0.2">
      <c r="A10" t="s">
        <v>477</v>
      </c>
      <c r="B10" t="s">
        <v>57</v>
      </c>
      <c r="C10" t="s">
        <v>470</v>
      </c>
      <c r="D10">
        <v>83</v>
      </c>
      <c r="E10">
        <v>8</v>
      </c>
    </row>
    <row r="11" spans="1:5" x14ac:dyDescent="0.2">
      <c r="A11" t="s">
        <v>478</v>
      </c>
      <c r="B11" t="s">
        <v>59</v>
      </c>
      <c r="C11" t="s">
        <v>475</v>
      </c>
      <c r="D11">
        <v>69</v>
      </c>
      <c r="E11">
        <v>5</v>
      </c>
    </row>
    <row r="12" spans="1:5" x14ac:dyDescent="0.2">
      <c r="A12" t="s">
        <v>479</v>
      </c>
      <c r="B12" t="s">
        <v>61</v>
      </c>
      <c r="C12" t="s">
        <v>472</v>
      </c>
      <c r="D12">
        <v>95</v>
      </c>
      <c r="E12">
        <v>10</v>
      </c>
    </row>
    <row r="13" spans="1:5" x14ac:dyDescent="0.2">
      <c r="A13" t="s">
        <v>480</v>
      </c>
      <c r="B13" t="s">
        <v>64</v>
      </c>
      <c r="C13" t="s">
        <v>470</v>
      </c>
      <c r="D13">
        <v>71</v>
      </c>
      <c r="E13">
        <v>5</v>
      </c>
    </row>
    <row r="14" spans="1:5" x14ac:dyDescent="0.2">
      <c r="A14" t="s">
        <v>481</v>
      </c>
      <c r="B14" t="s">
        <v>66</v>
      </c>
      <c r="C14" t="s">
        <v>475</v>
      </c>
      <c r="D14">
        <v>62</v>
      </c>
      <c r="E14">
        <v>4</v>
      </c>
    </row>
    <row r="15" spans="1:5" x14ac:dyDescent="0.2">
      <c r="A15" t="s">
        <v>482</v>
      </c>
      <c r="B15" t="s">
        <v>67</v>
      </c>
      <c r="C15" t="s">
        <v>472</v>
      </c>
      <c r="D15">
        <v>87</v>
      </c>
      <c r="E15">
        <v>8</v>
      </c>
    </row>
    <row r="16" spans="1:5" x14ac:dyDescent="0.2">
      <c r="A16" t="s">
        <v>483</v>
      </c>
      <c r="B16" t="s">
        <v>68</v>
      </c>
      <c r="C16" t="s">
        <v>470</v>
      </c>
      <c r="D16">
        <v>54</v>
      </c>
      <c r="E16">
        <v>2</v>
      </c>
    </row>
    <row r="17" spans="1:5" x14ac:dyDescent="0.2">
      <c r="A17" t="s">
        <v>484</v>
      </c>
      <c r="B17" t="s">
        <v>10</v>
      </c>
      <c r="C17" t="s">
        <v>475</v>
      </c>
      <c r="D17">
        <v>79</v>
      </c>
      <c r="E17">
        <v>6</v>
      </c>
    </row>
    <row r="18" spans="1:5" x14ac:dyDescent="0.2">
      <c r="A18" t="s">
        <v>485</v>
      </c>
      <c r="B18" t="s">
        <v>14</v>
      </c>
      <c r="C18" t="s">
        <v>472</v>
      </c>
      <c r="D18">
        <v>66</v>
      </c>
      <c r="E18">
        <v>4</v>
      </c>
    </row>
    <row r="19" spans="1:5" x14ac:dyDescent="0.2">
      <c r="A19" t="s">
        <v>486</v>
      </c>
      <c r="B19" t="s">
        <v>18</v>
      </c>
      <c r="C19" t="s">
        <v>470</v>
      </c>
      <c r="D19">
        <v>92</v>
      </c>
      <c r="E19">
        <v>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48DF4-43E4-3D4C-BEED-34D9FA529B43}">
  <dimension ref="A1:D16"/>
  <sheetViews>
    <sheetView tabSelected="1" workbookViewId="0">
      <pane ySplit="4" topLeftCell="A5" activePane="bottomLeft" state="frozen"/>
      <selection pane="bottomLeft" activeCell="A31" sqref="A31"/>
    </sheetView>
  </sheetViews>
  <sheetFormatPr baseColWidth="10" defaultRowHeight="16" x14ac:dyDescent="0.2"/>
  <cols>
    <col min="1" max="1" width="143.1640625" bestFit="1" customWidth="1"/>
    <col min="2" max="2" width="13.1640625" bestFit="1" customWidth="1"/>
    <col min="3" max="3" width="9.33203125" bestFit="1" customWidth="1"/>
    <col min="4" max="4" width="19.33203125" bestFit="1" customWidth="1"/>
  </cols>
  <sheetData>
    <row r="1" spans="1:4" ht="19" x14ac:dyDescent="0.25">
      <c r="A1" s="3" t="s">
        <v>487</v>
      </c>
    </row>
    <row r="2" spans="1:4" x14ac:dyDescent="0.2">
      <c r="A2" s="4" t="s">
        <v>488</v>
      </c>
    </row>
    <row r="4" spans="1:4" x14ac:dyDescent="0.2">
      <c r="A4" s="1" t="s">
        <v>116</v>
      </c>
      <c r="B4" s="1" t="s">
        <v>489</v>
      </c>
      <c r="C4" s="1" t="s">
        <v>72</v>
      </c>
      <c r="D4" s="1" t="s">
        <v>490</v>
      </c>
    </row>
    <row r="5" spans="1:4" x14ac:dyDescent="0.2">
      <c r="A5" t="s">
        <v>491</v>
      </c>
      <c r="B5" s="9">
        <v>12400</v>
      </c>
      <c r="C5">
        <v>210</v>
      </c>
      <c r="D5" s="10">
        <v>-320</v>
      </c>
    </row>
    <row r="6" spans="1:4" x14ac:dyDescent="0.2">
      <c r="A6" t="s">
        <v>492</v>
      </c>
      <c r="B6" s="9">
        <v>15800</v>
      </c>
      <c r="C6">
        <v>225</v>
      </c>
      <c r="D6" s="10">
        <v>410</v>
      </c>
    </row>
    <row r="7" spans="1:4" x14ac:dyDescent="0.2">
      <c r="A7" t="s">
        <v>493</v>
      </c>
      <c r="B7" s="9">
        <v>21500</v>
      </c>
      <c r="C7">
        <v>248</v>
      </c>
      <c r="D7" s="10">
        <v>860</v>
      </c>
    </row>
    <row r="8" spans="1:4" x14ac:dyDescent="0.2">
      <c r="A8" t="s">
        <v>494</v>
      </c>
      <c r="B8" s="9">
        <v>18900</v>
      </c>
      <c r="C8">
        <v>233</v>
      </c>
      <c r="D8" s="10">
        <v>-540</v>
      </c>
    </row>
    <row r="9" spans="1:4" x14ac:dyDescent="0.2">
      <c r="A9" t="s">
        <v>121</v>
      </c>
      <c r="B9" s="9">
        <v>26300</v>
      </c>
      <c r="C9">
        <v>261</v>
      </c>
      <c r="D9" s="10">
        <v>1120</v>
      </c>
    </row>
    <row r="10" spans="1:4" x14ac:dyDescent="0.2">
      <c r="A10" t="s">
        <v>495</v>
      </c>
      <c r="B10" s="9">
        <v>31200</v>
      </c>
      <c r="C10">
        <v>287</v>
      </c>
      <c r="D10" s="10">
        <v>760</v>
      </c>
    </row>
    <row r="11" spans="1:4" x14ac:dyDescent="0.2">
      <c r="A11" t="s">
        <v>496</v>
      </c>
      <c r="B11" s="9">
        <v>28700</v>
      </c>
      <c r="C11">
        <v>302</v>
      </c>
      <c r="D11" s="10">
        <v>-390</v>
      </c>
    </row>
    <row r="12" spans="1:4" x14ac:dyDescent="0.2">
      <c r="A12" t="s">
        <v>497</v>
      </c>
      <c r="B12" s="9">
        <v>35400</v>
      </c>
      <c r="C12">
        <v>294</v>
      </c>
      <c r="D12" s="10">
        <v>980</v>
      </c>
    </row>
    <row r="13" spans="1:4" x14ac:dyDescent="0.2">
      <c r="A13" t="s">
        <v>498</v>
      </c>
      <c r="B13" s="9">
        <v>41800</v>
      </c>
      <c r="C13">
        <v>318</v>
      </c>
      <c r="D13" s="10">
        <v>1340</v>
      </c>
    </row>
    <row r="14" spans="1:4" x14ac:dyDescent="0.2">
      <c r="A14" t="s">
        <v>499</v>
      </c>
      <c r="B14" s="9">
        <v>38200</v>
      </c>
      <c r="C14">
        <v>341</v>
      </c>
      <c r="D14" s="10">
        <v>-620</v>
      </c>
    </row>
    <row r="15" spans="1:4" x14ac:dyDescent="0.2">
      <c r="A15" t="s">
        <v>500</v>
      </c>
      <c r="B15" s="9">
        <v>47600</v>
      </c>
      <c r="C15">
        <v>366</v>
      </c>
      <c r="D15" s="10">
        <v>1580</v>
      </c>
    </row>
    <row r="16" spans="1:4" x14ac:dyDescent="0.2">
      <c r="A16" t="s">
        <v>501</v>
      </c>
      <c r="B16" s="9">
        <v>52900</v>
      </c>
      <c r="C16">
        <v>389</v>
      </c>
      <c r="D16" s="10">
        <v>1210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6F590-4567-AC46-963C-FA4D7138E496}">
  <dimension ref="A1:E16"/>
  <sheetViews>
    <sheetView workbookViewId="0">
      <pane ySplit="4" topLeftCell="A5" activePane="bottomLeft" state="frozen"/>
      <selection pane="bottomLeft"/>
    </sheetView>
  </sheetViews>
  <sheetFormatPr baseColWidth="10" defaultRowHeight="16" x14ac:dyDescent="0.2"/>
  <cols>
    <col min="1" max="1" width="113.5" bestFit="1" customWidth="1"/>
    <col min="2" max="5" width="9.33203125" bestFit="1" customWidth="1"/>
  </cols>
  <sheetData>
    <row r="1" spans="1:5" ht="19" x14ac:dyDescent="0.25">
      <c r="A1" s="12" t="s">
        <v>502</v>
      </c>
      <c r="B1" s="13"/>
      <c r="C1" s="13"/>
      <c r="D1" s="13"/>
      <c r="E1" s="13"/>
    </row>
    <row r="2" spans="1:5" x14ac:dyDescent="0.2">
      <c r="A2" s="14" t="s">
        <v>503</v>
      </c>
      <c r="B2" s="13"/>
      <c r="C2" s="13"/>
      <c r="D2" s="13"/>
      <c r="E2" s="13"/>
    </row>
    <row r="3" spans="1:5" x14ac:dyDescent="0.2">
      <c r="A3" s="13"/>
      <c r="B3" s="13"/>
      <c r="C3" s="13"/>
      <c r="D3" s="13"/>
      <c r="E3" s="13"/>
    </row>
    <row r="4" spans="1:5" x14ac:dyDescent="0.2">
      <c r="A4" s="15" t="s">
        <v>2</v>
      </c>
      <c r="B4" s="15" t="s">
        <v>266</v>
      </c>
      <c r="C4" s="15" t="s">
        <v>267</v>
      </c>
      <c r="D4" s="15" t="s">
        <v>268</v>
      </c>
      <c r="E4" s="15" t="s">
        <v>269</v>
      </c>
    </row>
    <row r="5" spans="1:5" x14ac:dyDescent="0.2">
      <c r="A5" s="13" t="s">
        <v>504</v>
      </c>
      <c r="B5" s="17">
        <v>184000</v>
      </c>
      <c r="C5" s="17">
        <v>196000</v>
      </c>
      <c r="D5" s="17">
        <v>172000</v>
      </c>
      <c r="E5" s="17">
        <v>215000</v>
      </c>
    </row>
    <row r="6" spans="1:5" x14ac:dyDescent="0.2">
      <c r="A6" s="13" t="s">
        <v>505</v>
      </c>
      <c r="B6" s="17">
        <v>92000</v>
      </c>
      <c r="C6" s="17">
        <v>88000</v>
      </c>
      <c r="D6" s="17">
        <v>104000</v>
      </c>
      <c r="E6" s="17">
        <v>97000</v>
      </c>
    </row>
    <row r="7" spans="1:5" x14ac:dyDescent="0.2">
      <c r="A7" s="13" t="s">
        <v>506</v>
      </c>
      <c r="B7" s="17">
        <v>143000</v>
      </c>
      <c r="C7" s="17">
        <v>151000</v>
      </c>
      <c r="D7" s="17">
        <v>138000</v>
      </c>
      <c r="E7" s="17">
        <v>166000</v>
      </c>
    </row>
    <row r="8" spans="1:5" x14ac:dyDescent="0.2">
      <c r="A8" s="13" t="s">
        <v>270</v>
      </c>
      <c r="B8" s="17">
        <v>205000</v>
      </c>
      <c r="C8" s="17">
        <v>198000</v>
      </c>
      <c r="D8" s="17">
        <v>221000</v>
      </c>
      <c r="E8" s="17">
        <v>234000</v>
      </c>
    </row>
    <row r="9" spans="1:5" x14ac:dyDescent="0.2">
      <c r="A9" s="13" t="s">
        <v>278</v>
      </c>
      <c r="B9" s="17">
        <v>167000</v>
      </c>
      <c r="C9" s="17">
        <v>159000</v>
      </c>
      <c r="D9" s="17">
        <v>174000</v>
      </c>
      <c r="E9" s="17">
        <v>181000</v>
      </c>
    </row>
    <row r="10" spans="1:5" x14ac:dyDescent="0.2">
      <c r="A10" s="13" t="s">
        <v>507</v>
      </c>
      <c r="B10" s="17">
        <v>118000</v>
      </c>
      <c r="C10" s="17">
        <v>126000</v>
      </c>
      <c r="D10" s="17">
        <v>131000</v>
      </c>
      <c r="E10" s="17">
        <v>122000</v>
      </c>
    </row>
    <row r="11" spans="1:5" x14ac:dyDescent="0.2">
      <c r="A11" s="13" t="s">
        <v>508</v>
      </c>
      <c r="B11" s="17">
        <v>99000</v>
      </c>
      <c r="C11" s="17">
        <v>107000</v>
      </c>
      <c r="D11" s="17">
        <v>94000</v>
      </c>
      <c r="E11" s="17">
        <v>113000</v>
      </c>
    </row>
    <row r="12" spans="1:5" x14ac:dyDescent="0.2">
      <c r="A12" s="13" t="s">
        <v>509</v>
      </c>
      <c r="B12" s="17">
        <v>76000</v>
      </c>
      <c r="C12" s="17">
        <v>84000</v>
      </c>
      <c r="D12" s="17">
        <v>91000</v>
      </c>
      <c r="E12" s="17">
        <v>88000</v>
      </c>
    </row>
    <row r="13" spans="1:5" x14ac:dyDescent="0.2">
      <c r="A13" s="13" t="s">
        <v>510</v>
      </c>
      <c r="B13" s="17">
        <v>132000</v>
      </c>
      <c r="C13" s="17">
        <v>128000</v>
      </c>
      <c r="D13" s="17">
        <v>145000</v>
      </c>
      <c r="E13" s="17">
        <v>152000</v>
      </c>
    </row>
    <row r="14" spans="1:5" x14ac:dyDescent="0.2">
      <c r="A14" s="13" t="s">
        <v>511</v>
      </c>
      <c r="B14" s="17">
        <v>64000</v>
      </c>
      <c r="C14" s="17">
        <v>71000</v>
      </c>
      <c r="D14" s="17">
        <v>68000</v>
      </c>
      <c r="E14" s="17">
        <v>79000</v>
      </c>
    </row>
    <row r="15" spans="1:5" x14ac:dyDescent="0.2">
      <c r="A15" s="13" t="s">
        <v>512</v>
      </c>
      <c r="B15" s="17">
        <v>111000</v>
      </c>
      <c r="C15" s="17">
        <v>124000</v>
      </c>
      <c r="D15" s="17">
        <v>137000</v>
      </c>
      <c r="E15" s="17">
        <v>149000</v>
      </c>
    </row>
    <row r="16" spans="1:5" x14ac:dyDescent="0.2">
      <c r="A16" s="13" t="s">
        <v>513</v>
      </c>
      <c r="B16" s="17">
        <v>228000</v>
      </c>
      <c r="C16" s="17">
        <v>241000</v>
      </c>
      <c r="D16" s="17">
        <v>219000</v>
      </c>
      <c r="E16" s="17">
        <v>256000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8BD60-5AE5-F944-A339-9A8EFAD01D07}">
  <dimension ref="A1:E16"/>
  <sheetViews>
    <sheetView workbookViewId="0">
      <pane ySplit="4" topLeftCell="A5" activePane="bottomLeft" state="frozen"/>
      <selection pane="bottomLeft"/>
    </sheetView>
  </sheetViews>
  <sheetFormatPr baseColWidth="10" defaultRowHeight="16" x14ac:dyDescent="0.2"/>
  <cols>
    <col min="1" max="1" width="157" bestFit="1" customWidth="1"/>
    <col min="2" max="2" width="13.1640625" bestFit="1" customWidth="1"/>
    <col min="3" max="3" width="6.33203125" bestFit="1" customWidth="1"/>
    <col min="4" max="4" width="10.5" bestFit="1" customWidth="1"/>
    <col min="5" max="5" width="16.33203125" bestFit="1" customWidth="1"/>
  </cols>
  <sheetData>
    <row r="1" spans="1:5" ht="19" x14ac:dyDescent="0.25">
      <c r="A1" s="3" t="s">
        <v>514</v>
      </c>
    </row>
    <row r="2" spans="1:5" x14ac:dyDescent="0.2">
      <c r="A2" s="4" t="s">
        <v>515</v>
      </c>
    </row>
    <row r="4" spans="1:5" x14ac:dyDescent="0.2">
      <c r="A4" s="1" t="s">
        <v>516</v>
      </c>
      <c r="B4" s="1" t="s">
        <v>517</v>
      </c>
      <c r="C4" s="1" t="s">
        <v>282</v>
      </c>
      <c r="D4" s="1" t="s">
        <v>74</v>
      </c>
      <c r="E4" s="1" t="s">
        <v>518</v>
      </c>
    </row>
    <row r="5" spans="1:5" x14ac:dyDescent="0.2">
      <c r="A5" t="s">
        <v>519</v>
      </c>
      <c r="B5" t="s">
        <v>520</v>
      </c>
      <c r="C5">
        <v>100</v>
      </c>
      <c r="D5">
        <v>7</v>
      </c>
      <c r="E5" s="8">
        <f>D5/C5</f>
        <v>7.0000000000000007E-2</v>
      </c>
    </row>
    <row r="6" spans="1:5" x14ac:dyDescent="0.2">
      <c r="A6" t="s">
        <v>521</v>
      </c>
      <c r="B6" t="s">
        <v>522</v>
      </c>
      <c r="C6">
        <v>100</v>
      </c>
      <c r="D6">
        <v>120</v>
      </c>
      <c r="E6" s="8">
        <f>D6/C6</f>
        <v>1.2</v>
      </c>
    </row>
    <row r="7" spans="1:5" x14ac:dyDescent="0.2">
      <c r="A7" t="s">
        <v>523</v>
      </c>
      <c r="B7" t="s">
        <v>524</v>
      </c>
      <c r="C7">
        <v>100</v>
      </c>
      <c r="D7">
        <v>12</v>
      </c>
      <c r="E7" s="8">
        <f>D7/C7</f>
        <v>0.12</v>
      </c>
    </row>
    <row r="8" spans="1:5" x14ac:dyDescent="0.2">
      <c r="A8" t="s">
        <v>525</v>
      </c>
      <c r="B8" t="s">
        <v>526</v>
      </c>
      <c r="C8">
        <v>100</v>
      </c>
      <c r="D8">
        <v>4</v>
      </c>
      <c r="E8" s="8">
        <f>D8/C8</f>
        <v>0.04</v>
      </c>
    </row>
    <row r="9" spans="1:5" x14ac:dyDescent="0.2">
      <c r="A9" t="s">
        <v>527</v>
      </c>
      <c r="B9" t="s">
        <v>528</v>
      </c>
      <c r="C9">
        <v>100</v>
      </c>
      <c r="D9">
        <v>66</v>
      </c>
      <c r="E9" s="8">
        <f>D9/C9</f>
        <v>0.66</v>
      </c>
    </row>
    <row r="10" spans="1:5" x14ac:dyDescent="0.2">
      <c r="A10" t="s">
        <v>529</v>
      </c>
      <c r="B10" t="s">
        <v>530</v>
      </c>
      <c r="C10">
        <v>100</v>
      </c>
      <c r="D10">
        <v>33</v>
      </c>
      <c r="E10" s="8">
        <f>D10/C10</f>
        <v>0.33</v>
      </c>
    </row>
    <row r="11" spans="1:5" x14ac:dyDescent="0.2">
      <c r="A11" t="s">
        <v>531</v>
      </c>
      <c r="B11" t="s">
        <v>532</v>
      </c>
      <c r="C11">
        <v>100</v>
      </c>
      <c r="D11">
        <v>88</v>
      </c>
      <c r="E11" s="8">
        <f>D11/C11</f>
        <v>0.88</v>
      </c>
    </row>
    <row r="12" spans="1:5" x14ac:dyDescent="0.2">
      <c r="A12" t="s">
        <v>533</v>
      </c>
      <c r="B12" t="s">
        <v>534</v>
      </c>
      <c r="C12">
        <v>100</v>
      </c>
      <c r="D12">
        <v>101</v>
      </c>
      <c r="E12" s="8">
        <f>D12/C12</f>
        <v>1.01</v>
      </c>
    </row>
    <row r="13" spans="1:5" x14ac:dyDescent="0.2">
      <c r="A13" t="s">
        <v>535</v>
      </c>
      <c r="B13" t="s">
        <v>536</v>
      </c>
      <c r="C13">
        <v>100</v>
      </c>
      <c r="D13">
        <v>19</v>
      </c>
      <c r="E13" s="8">
        <f>D13/C13</f>
        <v>0.19</v>
      </c>
    </row>
    <row r="14" spans="1:5" x14ac:dyDescent="0.2">
      <c r="A14" t="s">
        <v>537</v>
      </c>
      <c r="B14" t="s">
        <v>538</v>
      </c>
      <c r="C14">
        <v>100</v>
      </c>
      <c r="D14">
        <v>42</v>
      </c>
      <c r="E14" s="8">
        <f>D14/C14</f>
        <v>0.42</v>
      </c>
    </row>
    <row r="15" spans="1:5" x14ac:dyDescent="0.2">
      <c r="A15" t="s">
        <v>539</v>
      </c>
      <c r="B15" t="s">
        <v>540</v>
      </c>
      <c r="C15">
        <v>100</v>
      </c>
      <c r="D15">
        <v>205</v>
      </c>
      <c r="E15" s="8">
        <f>D15/C15</f>
        <v>2.0499999999999998</v>
      </c>
    </row>
    <row r="16" spans="1:5" x14ac:dyDescent="0.2">
      <c r="A16" t="s">
        <v>541</v>
      </c>
      <c r="B16" t="s">
        <v>542</v>
      </c>
      <c r="C16">
        <v>100</v>
      </c>
      <c r="D16">
        <v>9</v>
      </c>
      <c r="E16" s="8">
        <f>D16/C16</f>
        <v>0.09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539E6-1297-E74A-839A-2815FCB526AB}">
  <dimension ref="A1:E16"/>
  <sheetViews>
    <sheetView workbookViewId="0">
      <pane ySplit="4" topLeftCell="A5" activePane="bottomLeft" state="frozen"/>
      <selection pane="bottomLeft"/>
    </sheetView>
  </sheetViews>
  <sheetFormatPr baseColWidth="10" defaultRowHeight="16" x14ac:dyDescent="0.2"/>
  <cols>
    <col min="1" max="1" width="165.5" bestFit="1" customWidth="1"/>
    <col min="2" max="2" width="12.5" bestFit="1" customWidth="1"/>
    <col min="3" max="3" width="10.1640625" bestFit="1" customWidth="1"/>
    <col min="4" max="4" width="9.33203125" bestFit="1" customWidth="1"/>
    <col min="5" max="5" width="6.83203125" bestFit="1" customWidth="1"/>
  </cols>
  <sheetData>
    <row r="1" spans="1:5" ht="19" x14ac:dyDescent="0.25">
      <c r="A1" s="12" t="s">
        <v>543</v>
      </c>
      <c r="B1" s="13"/>
      <c r="C1" s="13"/>
      <c r="D1" s="13"/>
      <c r="E1" s="13"/>
    </row>
    <row r="2" spans="1:5" x14ac:dyDescent="0.2">
      <c r="A2" s="14" t="s">
        <v>544</v>
      </c>
      <c r="B2" s="13"/>
      <c r="C2" s="13"/>
      <c r="D2" s="13"/>
      <c r="E2" s="13"/>
    </row>
    <row r="3" spans="1:5" x14ac:dyDescent="0.2">
      <c r="A3" s="13"/>
      <c r="B3" s="13"/>
      <c r="C3" s="13"/>
      <c r="D3" s="13"/>
      <c r="E3" s="13"/>
    </row>
    <row r="4" spans="1:5" x14ac:dyDescent="0.2">
      <c r="A4" s="15" t="s">
        <v>545</v>
      </c>
      <c r="B4" s="15" t="s">
        <v>546</v>
      </c>
      <c r="C4" s="15" t="s">
        <v>547</v>
      </c>
      <c r="D4" s="15" t="s">
        <v>8</v>
      </c>
      <c r="E4" s="15" t="s">
        <v>548</v>
      </c>
    </row>
    <row r="5" spans="1:5" x14ac:dyDescent="0.2">
      <c r="A5" s="13" t="s">
        <v>192</v>
      </c>
      <c r="B5" s="13" t="s">
        <v>39</v>
      </c>
      <c r="C5" s="13">
        <v>14</v>
      </c>
      <c r="D5" s="17">
        <v>238000</v>
      </c>
      <c r="E5" s="7">
        <v>0.184</v>
      </c>
    </row>
    <row r="6" spans="1:5" x14ac:dyDescent="0.2">
      <c r="A6" s="13" t="s">
        <v>194</v>
      </c>
      <c r="B6" s="13" t="s">
        <v>43</v>
      </c>
      <c r="C6" s="13">
        <v>11</v>
      </c>
      <c r="D6" s="17">
        <v>164000</v>
      </c>
      <c r="E6" s="7">
        <v>0.152</v>
      </c>
    </row>
    <row r="7" spans="1:5" x14ac:dyDescent="0.2">
      <c r="A7" s="13" t="s">
        <v>196</v>
      </c>
      <c r="B7" s="13" t="s">
        <v>47</v>
      </c>
      <c r="C7" s="13">
        <v>9</v>
      </c>
      <c r="D7" s="17">
        <v>138000</v>
      </c>
      <c r="E7" s="7">
        <v>0.21099999999999999</v>
      </c>
    </row>
    <row r="8" spans="1:5" x14ac:dyDescent="0.2">
      <c r="A8" s="13" t="s">
        <v>198</v>
      </c>
      <c r="B8" s="13" t="s">
        <v>51</v>
      </c>
      <c r="C8" s="13">
        <v>12</v>
      </c>
      <c r="D8" s="17">
        <v>151000</v>
      </c>
      <c r="E8" s="7">
        <v>9.7000000000000003E-2</v>
      </c>
    </row>
    <row r="9" spans="1:5" x14ac:dyDescent="0.2">
      <c r="A9" s="13" t="s">
        <v>200</v>
      </c>
      <c r="B9" s="13" t="s">
        <v>53</v>
      </c>
      <c r="C9" s="13">
        <v>16</v>
      </c>
      <c r="D9" s="17">
        <v>265000</v>
      </c>
      <c r="E9" s="7">
        <v>0.223</v>
      </c>
    </row>
    <row r="10" spans="1:5" x14ac:dyDescent="0.2">
      <c r="A10" s="13" t="s">
        <v>202</v>
      </c>
      <c r="B10" s="13" t="s">
        <v>57</v>
      </c>
      <c r="C10" s="13">
        <v>8</v>
      </c>
      <c r="D10" s="17">
        <v>119000</v>
      </c>
      <c r="E10" s="7">
        <v>0.13100000000000001</v>
      </c>
    </row>
    <row r="11" spans="1:5" x14ac:dyDescent="0.2">
      <c r="A11" s="13" t="s">
        <v>204</v>
      </c>
      <c r="B11" s="13" t="s">
        <v>59</v>
      </c>
      <c r="C11" s="13">
        <v>10</v>
      </c>
      <c r="D11" s="17">
        <v>127000</v>
      </c>
      <c r="E11" s="7">
        <v>0.16800000000000001</v>
      </c>
    </row>
    <row r="12" spans="1:5" x14ac:dyDescent="0.2">
      <c r="A12" s="13" t="s">
        <v>206</v>
      </c>
      <c r="B12" s="13" t="s">
        <v>61</v>
      </c>
      <c r="C12" s="13">
        <v>7</v>
      </c>
      <c r="D12" s="17">
        <v>98000</v>
      </c>
      <c r="E12" s="7">
        <v>7.9000000000000001E-2</v>
      </c>
    </row>
    <row r="13" spans="1:5" x14ac:dyDescent="0.2">
      <c r="A13" s="13" t="s">
        <v>209</v>
      </c>
      <c r="B13" s="13" t="s">
        <v>64</v>
      </c>
      <c r="C13" s="13">
        <v>6</v>
      </c>
      <c r="D13" s="17">
        <v>86000</v>
      </c>
      <c r="E13" s="7">
        <v>0.14199999999999999</v>
      </c>
    </row>
    <row r="14" spans="1:5" x14ac:dyDescent="0.2">
      <c r="A14" s="13" t="s">
        <v>211</v>
      </c>
      <c r="B14" s="13" t="s">
        <v>66</v>
      </c>
      <c r="C14" s="13">
        <v>9</v>
      </c>
      <c r="D14" s="17">
        <v>112000</v>
      </c>
      <c r="E14" s="7">
        <v>0.19500000000000001</v>
      </c>
    </row>
    <row r="15" spans="1:5" x14ac:dyDescent="0.2">
      <c r="A15" s="13" t="s">
        <v>213</v>
      </c>
      <c r="B15" s="13" t="s">
        <v>67</v>
      </c>
      <c r="C15" s="13">
        <v>8</v>
      </c>
      <c r="D15" s="17">
        <v>204000</v>
      </c>
      <c r="E15" s="7">
        <v>0.17599999999999999</v>
      </c>
    </row>
    <row r="16" spans="1:5" x14ac:dyDescent="0.2">
      <c r="A16" s="13" t="s">
        <v>286</v>
      </c>
      <c r="B16" s="13" t="s">
        <v>68</v>
      </c>
      <c r="C16" s="13">
        <v>13</v>
      </c>
      <c r="D16" s="17">
        <v>231000</v>
      </c>
      <c r="E16" s="7">
        <v>0.108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4422B-B76B-7748-AD32-C4E8DC020817}">
  <dimension ref="A1:B11"/>
  <sheetViews>
    <sheetView workbookViewId="0"/>
  </sheetViews>
  <sheetFormatPr baseColWidth="10" defaultRowHeight="16" x14ac:dyDescent="0.2"/>
  <cols>
    <col min="1" max="1" width="135" bestFit="1" customWidth="1"/>
    <col min="2" max="2" width="9.33203125" bestFit="1" customWidth="1"/>
  </cols>
  <sheetData>
    <row r="1" spans="1:2" ht="19" x14ac:dyDescent="0.25">
      <c r="A1" s="12" t="s">
        <v>549</v>
      </c>
      <c r="B1" s="13"/>
    </row>
    <row r="2" spans="1:2" x14ac:dyDescent="0.2">
      <c r="A2" s="14" t="s">
        <v>550</v>
      </c>
      <c r="B2" s="13"/>
    </row>
    <row r="3" spans="1:2" x14ac:dyDescent="0.2">
      <c r="A3" s="13"/>
      <c r="B3" s="13"/>
    </row>
    <row r="4" spans="1:2" x14ac:dyDescent="0.2">
      <c r="A4" s="15" t="s">
        <v>34</v>
      </c>
      <c r="B4" s="15" t="s">
        <v>8</v>
      </c>
    </row>
    <row r="5" spans="1:2" x14ac:dyDescent="0.2">
      <c r="A5" s="13" t="s">
        <v>97</v>
      </c>
      <c r="B5" s="17">
        <v>184000</v>
      </c>
    </row>
    <row r="6" spans="1:2" x14ac:dyDescent="0.2">
      <c r="A6" s="13" t="s">
        <v>98</v>
      </c>
      <c r="B6" s="17">
        <v>256000</v>
      </c>
    </row>
    <row r="7" spans="1:2" x14ac:dyDescent="0.2">
      <c r="A7" s="13" t="s">
        <v>99</v>
      </c>
      <c r="B7" s="17">
        <v>143000</v>
      </c>
    </row>
    <row r="8" spans="1:2" x14ac:dyDescent="0.2">
      <c r="A8" s="13" t="s">
        <v>100</v>
      </c>
      <c r="B8" s="17">
        <v>398000</v>
      </c>
    </row>
    <row r="9" spans="1:2" x14ac:dyDescent="0.2">
      <c r="A9" s="13" t="s">
        <v>101</v>
      </c>
      <c r="B9" s="17">
        <v>312000</v>
      </c>
    </row>
    <row r="10" spans="1:2" x14ac:dyDescent="0.2">
      <c r="A10" s="13" t="s">
        <v>102</v>
      </c>
      <c r="B10" s="17">
        <v>275000</v>
      </c>
    </row>
    <row r="11" spans="1:2" x14ac:dyDescent="0.2">
      <c r="A11" s="13" t="s">
        <v>103</v>
      </c>
      <c r="B11" s="17">
        <v>221000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83A54-9077-F54B-B67E-6FB42D6149BB}">
  <dimension ref="A1:D9"/>
  <sheetViews>
    <sheetView workbookViewId="0"/>
  </sheetViews>
  <sheetFormatPr baseColWidth="10" defaultRowHeight="16" x14ac:dyDescent="0.2"/>
  <cols>
    <col min="1" max="1" width="137.33203125" bestFit="1" customWidth="1"/>
    <col min="2" max="2" width="9.33203125" bestFit="1" customWidth="1"/>
    <col min="3" max="3" width="8.6640625" bestFit="1" customWidth="1"/>
    <col min="4" max="4" width="11.5" bestFit="1" customWidth="1"/>
  </cols>
  <sheetData>
    <row r="1" spans="1:4" ht="19" x14ac:dyDescent="0.25">
      <c r="A1" s="12" t="s">
        <v>551</v>
      </c>
      <c r="B1" s="13"/>
      <c r="C1" s="13"/>
      <c r="D1" s="13"/>
    </row>
    <row r="2" spans="1:4" x14ac:dyDescent="0.2">
      <c r="A2" s="14" t="s">
        <v>552</v>
      </c>
      <c r="B2" s="13"/>
      <c r="C2" s="13"/>
      <c r="D2" s="13"/>
    </row>
    <row r="3" spans="1:4" x14ac:dyDescent="0.2">
      <c r="A3" s="13"/>
      <c r="B3" s="13"/>
      <c r="C3" s="13"/>
      <c r="D3" s="13"/>
    </row>
    <row r="4" spans="1:4" x14ac:dyDescent="0.2">
      <c r="A4" s="15" t="s">
        <v>109</v>
      </c>
      <c r="B4" s="15" t="s">
        <v>12</v>
      </c>
      <c r="C4" s="15" t="s">
        <v>16</v>
      </c>
      <c r="D4" s="15" t="s">
        <v>20</v>
      </c>
    </row>
    <row r="5" spans="1:4" x14ac:dyDescent="0.2">
      <c r="A5" s="13" t="s">
        <v>110</v>
      </c>
      <c r="B5" s="17">
        <v>148000</v>
      </c>
      <c r="C5" s="17">
        <v>96000</v>
      </c>
      <c r="D5" s="17">
        <v>168000</v>
      </c>
    </row>
    <row r="6" spans="1:4" x14ac:dyDescent="0.2">
      <c r="A6" s="13" t="s">
        <v>111</v>
      </c>
      <c r="B6" s="17">
        <v>112000</v>
      </c>
      <c r="C6" s="17">
        <v>84000</v>
      </c>
      <c r="D6" s="17">
        <v>72000</v>
      </c>
    </row>
    <row r="7" spans="1:4" x14ac:dyDescent="0.2">
      <c r="A7" s="13" t="s">
        <v>112</v>
      </c>
      <c r="B7" s="17">
        <v>95000</v>
      </c>
      <c r="C7" s="17">
        <v>61000</v>
      </c>
      <c r="D7" s="17">
        <v>39000</v>
      </c>
    </row>
    <row r="8" spans="1:4" x14ac:dyDescent="0.2">
      <c r="A8" s="13" t="s">
        <v>113</v>
      </c>
      <c r="B8" s="17">
        <v>58000</v>
      </c>
      <c r="C8" s="17">
        <v>32000</v>
      </c>
      <c r="D8" s="17">
        <v>44000</v>
      </c>
    </row>
    <row r="9" spans="1:4" x14ac:dyDescent="0.2">
      <c r="A9" s="13" t="s">
        <v>114</v>
      </c>
      <c r="B9" s="17">
        <v>41000</v>
      </c>
      <c r="C9" s="17">
        <v>27000</v>
      </c>
      <c r="D9" s="17">
        <v>19000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CB814-A1FA-004D-B0F2-32DF9173D59E}">
  <dimension ref="A1:D12"/>
  <sheetViews>
    <sheetView workbookViewId="0"/>
  </sheetViews>
  <sheetFormatPr baseColWidth="10" defaultRowHeight="16" x14ac:dyDescent="0.2"/>
  <cols>
    <col min="1" max="1" width="152.33203125" bestFit="1" customWidth="1"/>
    <col min="2" max="2" width="9.33203125" bestFit="1" customWidth="1"/>
    <col min="3" max="3" width="8.6640625" bestFit="1" customWidth="1"/>
    <col min="4" max="4" width="11.5" bestFit="1" customWidth="1"/>
  </cols>
  <sheetData>
    <row r="1" spans="1:4" ht="19" x14ac:dyDescent="0.25">
      <c r="A1" s="12" t="s">
        <v>553</v>
      </c>
      <c r="B1" s="13"/>
      <c r="C1" s="13"/>
      <c r="D1" s="13"/>
    </row>
    <row r="2" spans="1:4" x14ac:dyDescent="0.2">
      <c r="A2" s="14" t="s">
        <v>554</v>
      </c>
      <c r="B2" s="13"/>
      <c r="C2" s="13"/>
      <c r="D2" s="13"/>
    </row>
    <row r="3" spans="1:4" x14ac:dyDescent="0.2">
      <c r="A3" s="13"/>
      <c r="B3" s="13"/>
      <c r="C3" s="13"/>
      <c r="D3" s="13"/>
    </row>
    <row r="4" spans="1:4" x14ac:dyDescent="0.2">
      <c r="A4" s="15" t="s">
        <v>104</v>
      </c>
      <c r="B4" s="15" t="s">
        <v>12</v>
      </c>
      <c r="C4" s="15" t="s">
        <v>16</v>
      </c>
      <c r="D4" s="15" t="s">
        <v>20</v>
      </c>
    </row>
    <row r="5" spans="1:4" x14ac:dyDescent="0.2">
      <c r="A5" s="13" t="s">
        <v>555</v>
      </c>
      <c r="B5" s="17">
        <v>104000</v>
      </c>
      <c r="C5" s="17">
        <v>71000</v>
      </c>
      <c r="D5" s="17">
        <v>38000</v>
      </c>
    </row>
    <row r="6" spans="1:4" x14ac:dyDescent="0.2">
      <c r="A6" s="13" t="s">
        <v>556</v>
      </c>
      <c r="B6" s="17">
        <v>118000</v>
      </c>
      <c r="C6" s="17">
        <v>66000</v>
      </c>
      <c r="D6" s="17">
        <v>44000</v>
      </c>
    </row>
    <row r="7" spans="1:4" x14ac:dyDescent="0.2">
      <c r="A7" s="13" t="s">
        <v>557</v>
      </c>
      <c r="B7" s="17">
        <v>127000</v>
      </c>
      <c r="C7" s="17">
        <v>82000</v>
      </c>
      <c r="D7" s="17">
        <v>49000</v>
      </c>
    </row>
    <row r="8" spans="1:4" x14ac:dyDescent="0.2">
      <c r="A8" s="13" t="s">
        <v>558</v>
      </c>
      <c r="B8" s="17">
        <v>139000</v>
      </c>
      <c r="C8" s="17">
        <v>75000</v>
      </c>
      <c r="D8" s="17">
        <v>58000</v>
      </c>
    </row>
    <row r="9" spans="1:4" x14ac:dyDescent="0.2">
      <c r="A9" s="13" t="s">
        <v>105</v>
      </c>
      <c r="B9" s="17">
        <v>120000</v>
      </c>
      <c r="C9" s="17">
        <v>84000</v>
      </c>
      <c r="D9" s="17">
        <v>46000</v>
      </c>
    </row>
    <row r="10" spans="1:4" x14ac:dyDescent="0.2">
      <c r="A10" s="13" t="s">
        <v>106</v>
      </c>
      <c r="B10" s="17">
        <v>138000</v>
      </c>
      <c r="C10" s="17">
        <v>79000</v>
      </c>
      <c r="D10" s="17">
        <v>52000</v>
      </c>
    </row>
    <row r="11" spans="1:4" x14ac:dyDescent="0.2">
      <c r="A11" s="13" t="s">
        <v>107</v>
      </c>
      <c r="B11" s="17">
        <v>151000</v>
      </c>
      <c r="C11" s="17">
        <v>96000</v>
      </c>
      <c r="D11" s="17">
        <v>61000</v>
      </c>
    </row>
    <row r="12" spans="1:4" x14ac:dyDescent="0.2">
      <c r="A12" s="13" t="s">
        <v>108</v>
      </c>
      <c r="B12" s="17">
        <v>167000</v>
      </c>
      <c r="C12" s="17">
        <v>88000</v>
      </c>
      <c r="D12" s="17">
        <v>73000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8404F-3875-5346-9656-FD44E036F735}">
  <dimension ref="A1:B10"/>
  <sheetViews>
    <sheetView workbookViewId="0"/>
  </sheetViews>
  <sheetFormatPr baseColWidth="10" defaultRowHeight="16" x14ac:dyDescent="0.2"/>
  <cols>
    <col min="1" max="1" width="143.6640625" bestFit="1" customWidth="1"/>
    <col min="2" max="2" width="9.33203125" bestFit="1" customWidth="1"/>
  </cols>
  <sheetData>
    <row r="1" spans="1:2" ht="19" x14ac:dyDescent="0.25">
      <c r="A1" s="12" t="s">
        <v>559</v>
      </c>
      <c r="B1" s="13"/>
    </row>
    <row r="2" spans="1:2" x14ac:dyDescent="0.2">
      <c r="A2" s="14" t="s">
        <v>560</v>
      </c>
      <c r="B2" s="13"/>
    </row>
    <row r="3" spans="1:2" x14ac:dyDescent="0.2">
      <c r="A3" s="13"/>
      <c r="B3" s="13"/>
    </row>
    <row r="4" spans="1:2" x14ac:dyDescent="0.2">
      <c r="A4" s="15" t="s">
        <v>109</v>
      </c>
      <c r="B4" s="15" t="s">
        <v>40</v>
      </c>
    </row>
    <row r="5" spans="1:2" x14ac:dyDescent="0.2">
      <c r="A5" s="13" t="s">
        <v>110</v>
      </c>
      <c r="B5" s="17">
        <v>412000</v>
      </c>
    </row>
    <row r="6" spans="1:2" x14ac:dyDescent="0.2">
      <c r="A6" s="13" t="s">
        <v>111</v>
      </c>
      <c r="B6" s="17">
        <v>268000</v>
      </c>
    </row>
    <row r="7" spans="1:2" x14ac:dyDescent="0.2">
      <c r="A7" s="13" t="s">
        <v>112</v>
      </c>
      <c r="B7" s="17">
        <v>195000</v>
      </c>
    </row>
    <row r="8" spans="1:2" x14ac:dyDescent="0.2">
      <c r="A8" s="13" t="s">
        <v>113</v>
      </c>
      <c r="B8" s="17">
        <v>134000</v>
      </c>
    </row>
    <row r="9" spans="1:2" x14ac:dyDescent="0.2">
      <c r="A9" s="13" t="s">
        <v>114</v>
      </c>
      <c r="B9" s="17">
        <v>87000</v>
      </c>
    </row>
    <row r="10" spans="1:2" x14ac:dyDescent="0.2">
      <c r="A10" s="13" t="s">
        <v>115</v>
      </c>
      <c r="B10" s="17">
        <v>42000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15581-0E49-9A49-A4F4-214EF85E5596}">
  <dimension ref="A1:D16"/>
  <sheetViews>
    <sheetView workbookViewId="0"/>
  </sheetViews>
  <sheetFormatPr baseColWidth="10" defaultRowHeight="16" x14ac:dyDescent="0.2"/>
  <cols>
    <col min="1" max="1" width="138.6640625" bestFit="1" customWidth="1"/>
    <col min="2" max="2" width="9.1640625" bestFit="1" customWidth="1"/>
    <col min="3" max="3" width="8.6640625" bestFit="1" customWidth="1"/>
    <col min="4" max="4" width="11.5" bestFit="1" customWidth="1"/>
  </cols>
  <sheetData>
    <row r="1" spans="1:4" ht="19" x14ac:dyDescent="0.25">
      <c r="A1" s="3" t="s">
        <v>561</v>
      </c>
    </row>
    <row r="2" spans="1:4" x14ac:dyDescent="0.2">
      <c r="A2" s="4" t="s">
        <v>562</v>
      </c>
    </row>
    <row r="4" spans="1:4" x14ac:dyDescent="0.2">
      <c r="A4" s="1" t="s">
        <v>116</v>
      </c>
      <c r="B4" s="1" t="s">
        <v>12</v>
      </c>
      <c r="C4" s="1" t="s">
        <v>16</v>
      </c>
      <c r="D4" s="1" t="s">
        <v>20</v>
      </c>
    </row>
    <row r="5" spans="1:4" x14ac:dyDescent="0.2">
      <c r="A5" t="s">
        <v>117</v>
      </c>
      <c r="B5">
        <v>210</v>
      </c>
      <c r="C5">
        <v>140</v>
      </c>
      <c r="D5">
        <v>320</v>
      </c>
    </row>
    <row r="6" spans="1:4" x14ac:dyDescent="0.2">
      <c r="A6" t="s">
        <v>118</v>
      </c>
      <c r="B6">
        <v>225</v>
      </c>
      <c r="C6">
        <v>132</v>
      </c>
      <c r="D6">
        <v>345</v>
      </c>
    </row>
    <row r="7" spans="1:4" x14ac:dyDescent="0.2">
      <c r="A7" t="s">
        <v>119</v>
      </c>
      <c r="B7">
        <v>248</v>
      </c>
      <c r="C7">
        <v>155</v>
      </c>
      <c r="D7">
        <v>301</v>
      </c>
    </row>
    <row r="8" spans="1:4" x14ac:dyDescent="0.2">
      <c r="A8" t="s">
        <v>120</v>
      </c>
      <c r="B8">
        <v>233</v>
      </c>
      <c r="C8">
        <v>168</v>
      </c>
      <c r="D8">
        <v>378</v>
      </c>
    </row>
    <row r="9" spans="1:4" x14ac:dyDescent="0.2">
      <c r="A9" t="s">
        <v>121</v>
      </c>
      <c r="B9">
        <v>261</v>
      </c>
      <c r="C9">
        <v>149</v>
      </c>
      <c r="D9">
        <v>392</v>
      </c>
    </row>
    <row r="10" spans="1:4" x14ac:dyDescent="0.2">
      <c r="A10" t="s">
        <v>122</v>
      </c>
      <c r="B10">
        <v>287</v>
      </c>
      <c r="C10">
        <v>176</v>
      </c>
      <c r="D10">
        <v>410</v>
      </c>
    </row>
    <row r="11" spans="1:4" x14ac:dyDescent="0.2">
      <c r="A11" t="s">
        <v>123</v>
      </c>
      <c r="B11">
        <v>302</v>
      </c>
      <c r="C11">
        <v>161</v>
      </c>
      <c r="D11">
        <v>455</v>
      </c>
    </row>
    <row r="12" spans="1:4" x14ac:dyDescent="0.2">
      <c r="A12" t="s">
        <v>124</v>
      </c>
      <c r="B12">
        <v>294</v>
      </c>
      <c r="C12">
        <v>183</v>
      </c>
      <c r="D12">
        <v>438</v>
      </c>
    </row>
    <row r="13" spans="1:4" x14ac:dyDescent="0.2">
      <c r="A13" t="s">
        <v>125</v>
      </c>
      <c r="B13">
        <v>318</v>
      </c>
      <c r="C13">
        <v>190</v>
      </c>
      <c r="D13">
        <v>472</v>
      </c>
    </row>
    <row r="14" spans="1:4" x14ac:dyDescent="0.2">
      <c r="A14" t="s">
        <v>126</v>
      </c>
      <c r="B14">
        <v>341</v>
      </c>
      <c r="C14">
        <v>175</v>
      </c>
      <c r="D14">
        <v>501</v>
      </c>
    </row>
    <row r="15" spans="1:4" x14ac:dyDescent="0.2">
      <c r="A15" t="s">
        <v>127</v>
      </c>
      <c r="B15">
        <v>366</v>
      </c>
      <c r="C15">
        <v>204</v>
      </c>
      <c r="D15">
        <v>530</v>
      </c>
    </row>
    <row r="16" spans="1:4" x14ac:dyDescent="0.2">
      <c r="A16" t="s">
        <v>128</v>
      </c>
      <c r="B16">
        <v>389</v>
      </c>
      <c r="C16">
        <v>218</v>
      </c>
      <c r="D16">
        <v>562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DB5E-F2CA-4644-AC01-72ED2BE96F9F}">
  <dimension ref="A1:D12"/>
  <sheetViews>
    <sheetView workbookViewId="0"/>
  </sheetViews>
  <sheetFormatPr baseColWidth="10" defaultRowHeight="16" x14ac:dyDescent="0.2"/>
  <cols>
    <col min="1" max="1" width="133" bestFit="1" customWidth="1"/>
    <col min="2" max="2" width="9.1640625" bestFit="1" customWidth="1"/>
    <col min="3" max="3" width="8.6640625" bestFit="1" customWidth="1"/>
    <col min="4" max="4" width="11.5" bestFit="1" customWidth="1"/>
  </cols>
  <sheetData>
    <row r="1" spans="1:4" ht="19" x14ac:dyDescent="0.25">
      <c r="A1" s="3" t="s">
        <v>563</v>
      </c>
    </row>
    <row r="2" spans="1:4" x14ac:dyDescent="0.2">
      <c r="A2" s="4" t="s">
        <v>564</v>
      </c>
    </row>
    <row r="4" spans="1:4" x14ac:dyDescent="0.2">
      <c r="A4" s="1" t="s">
        <v>104</v>
      </c>
      <c r="B4" s="1" t="s">
        <v>12</v>
      </c>
      <c r="C4" s="1" t="s">
        <v>16</v>
      </c>
      <c r="D4" s="1" t="s">
        <v>20</v>
      </c>
    </row>
    <row r="5" spans="1:4" x14ac:dyDescent="0.2">
      <c r="A5" t="s">
        <v>555</v>
      </c>
      <c r="B5">
        <v>104</v>
      </c>
      <c r="C5">
        <v>71</v>
      </c>
      <c r="D5">
        <v>38</v>
      </c>
    </row>
    <row r="6" spans="1:4" x14ac:dyDescent="0.2">
      <c r="A6" t="s">
        <v>556</v>
      </c>
      <c r="B6">
        <v>118</v>
      </c>
      <c r="C6">
        <v>66</v>
      </c>
      <c r="D6">
        <v>44</v>
      </c>
    </row>
    <row r="7" spans="1:4" x14ac:dyDescent="0.2">
      <c r="A7" t="s">
        <v>557</v>
      </c>
      <c r="B7">
        <v>127</v>
      </c>
      <c r="C7">
        <v>82</v>
      </c>
      <c r="D7">
        <v>49</v>
      </c>
    </row>
    <row r="8" spans="1:4" x14ac:dyDescent="0.2">
      <c r="A8" t="s">
        <v>558</v>
      </c>
      <c r="B8">
        <v>139</v>
      </c>
      <c r="C8">
        <v>75</v>
      </c>
      <c r="D8">
        <v>58</v>
      </c>
    </row>
    <row r="9" spans="1:4" x14ac:dyDescent="0.2">
      <c r="A9" t="s">
        <v>105</v>
      </c>
      <c r="B9">
        <v>120</v>
      </c>
      <c r="C9">
        <v>84</v>
      </c>
      <c r="D9">
        <v>46</v>
      </c>
    </row>
    <row r="10" spans="1:4" x14ac:dyDescent="0.2">
      <c r="A10" t="s">
        <v>106</v>
      </c>
      <c r="B10">
        <v>138</v>
      </c>
      <c r="C10">
        <v>79</v>
      </c>
      <c r="D10">
        <v>52</v>
      </c>
    </row>
    <row r="11" spans="1:4" x14ac:dyDescent="0.2">
      <c r="A11" t="s">
        <v>107</v>
      </c>
      <c r="B11">
        <v>151</v>
      </c>
      <c r="C11">
        <v>96</v>
      </c>
      <c r="D11">
        <v>61</v>
      </c>
    </row>
    <row r="12" spans="1:4" x14ac:dyDescent="0.2">
      <c r="A12" t="s">
        <v>108</v>
      </c>
      <c r="B12">
        <v>167</v>
      </c>
      <c r="C12">
        <v>88</v>
      </c>
      <c r="D12">
        <v>73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370E0-47A7-2140-A668-0D9AC91FC035}">
  <dimension ref="A1:D16"/>
  <sheetViews>
    <sheetView workbookViewId="0"/>
  </sheetViews>
  <sheetFormatPr baseColWidth="10" defaultRowHeight="16" x14ac:dyDescent="0.2"/>
  <cols>
    <col min="1" max="1" width="121.1640625" bestFit="1" customWidth="1"/>
    <col min="2" max="2" width="9.1640625" bestFit="1" customWidth="1"/>
    <col min="3" max="3" width="8.6640625" bestFit="1" customWidth="1"/>
    <col min="4" max="4" width="11.5" bestFit="1" customWidth="1"/>
  </cols>
  <sheetData>
    <row r="1" spans="1:4" ht="19" x14ac:dyDescent="0.25">
      <c r="A1" s="3" t="s">
        <v>565</v>
      </c>
    </row>
    <row r="2" spans="1:4" x14ac:dyDescent="0.2">
      <c r="A2" s="4" t="s">
        <v>566</v>
      </c>
    </row>
    <row r="4" spans="1:4" x14ac:dyDescent="0.2">
      <c r="A4" s="1" t="s">
        <v>116</v>
      </c>
      <c r="B4" s="1" t="s">
        <v>12</v>
      </c>
      <c r="C4" s="1" t="s">
        <v>16</v>
      </c>
      <c r="D4" s="1" t="s">
        <v>20</v>
      </c>
    </row>
    <row r="5" spans="1:4" x14ac:dyDescent="0.2">
      <c r="A5" t="s">
        <v>117</v>
      </c>
      <c r="B5">
        <v>210</v>
      </c>
      <c r="C5">
        <v>140</v>
      </c>
      <c r="D5">
        <v>320</v>
      </c>
    </row>
    <row r="6" spans="1:4" x14ac:dyDescent="0.2">
      <c r="A6" t="s">
        <v>118</v>
      </c>
      <c r="B6">
        <v>225</v>
      </c>
      <c r="C6">
        <v>132</v>
      </c>
      <c r="D6">
        <v>345</v>
      </c>
    </row>
    <row r="7" spans="1:4" x14ac:dyDescent="0.2">
      <c r="A7" t="s">
        <v>119</v>
      </c>
      <c r="B7">
        <v>248</v>
      </c>
      <c r="C7">
        <v>155</v>
      </c>
      <c r="D7">
        <v>301</v>
      </c>
    </row>
    <row r="8" spans="1:4" x14ac:dyDescent="0.2">
      <c r="A8" t="s">
        <v>120</v>
      </c>
      <c r="B8">
        <v>233</v>
      </c>
      <c r="C8">
        <v>168</v>
      </c>
      <c r="D8">
        <v>378</v>
      </c>
    </row>
    <row r="9" spans="1:4" x14ac:dyDescent="0.2">
      <c r="A9" t="s">
        <v>121</v>
      </c>
      <c r="B9">
        <v>261</v>
      </c>
      <c r="C9">
        <v>149</v>
      </c>
      <c r="D9">
        <v>392</v>
      </c>
    </row>
    <row r="10" spans="1:4" x14ac:dyDescent="0.2">
      <c r="A10" t="s">
        <v>122</v>
      </c>
      <c r="B10">
        <v>287</v>
      </c>
      <c r="C10">
        <v>176</v>
      </c>
      <c r="D10">
        <v>410</v>
      </c>
    </row>
    <row r="11" spans="1:4" x14ac:dyDescent="0.2">
      <c r="A11" t="s">
        <v>123</v>
      </c>
      <c r="B11">
        <v>302</v>
      </c>
      <c r="C11">
        <v>161</v>
      </c>
      <c r="D11">
        <v>455</v>
      </c>
    </row>
    <row r="12" spans="1:4" x14ac:dyDescent="0.2">
      <c r="A12" t="s">
        <v>124</v>
      </c>
      <c r="B12">
        <v>294</v>
      </c>
      <c r="C12">
        <v>183</v>
      </c>
      <c r="D12">
        <v>438</v>
      </c>
    </row>
    <row r="13" spans="1:4" x14ac:dyDescent="0.2">
      <c r="A13" t="s">
        <v>125</v>
      </c>
      <c r="B13">
        <v>318</v>
      </c>
      <c r="C13">
        <v>190</v>
      </c>
      <c r="D13">
        <v>472</v>
      </c>
    </row>
    <row r="14" spans="1:4" x14ac:dyDescent="0.2">
      <c r="A14" t="s">
        <v>126</v>
      </c>
      <c r="B14">
        <v>341</v>
      </c>
      <c r="C14">
        <v>175</v>
      </c>
      <c r="D14">
        <v>501</v>
      </c>
    </row>
    <row r="15" spans="1:4" x14ac:dyDescent="0.2">
      <c r="A15" t="s">
        <v>127</v>
      </c>
      <c r="B15">
        <v>366</v>
      </c>
      <c r="C15">
        <v>204</v>
      </c>
      <c r="D15">
        <v>530</v>
      </c>
    </row>
    <row r="16" spans="1:4" x14ac:dyDescent="0.2">
      <c r="A16" t="s">
        <v>128</v>
      </c>
      <c r="B16">
        <v>389</v>
      </c>
      <c r="C16">
        <v>218</v>
      </c>
      <c r="D16">
        <v>562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62AD8-E95B-9A4A-8F86-7784FA061C99}">
  <dimension ref="A1:C10"/>
  <sheetViews>
    <sheetView workbookViewId="0"/>
  </sheetViews>
  <sheetFormatPr baseColWidth="10" defaultRowHeight="16" x14ac:dyDescent="0.2"/>
  <cols>
    <col min="1" max="1" width="139" bestFit="1" customWidth="1"/>
    <col min="2" max="3" width="7.6640625" bestFit="1" customWidth="1"/>
  </cols>
  <sheetData>
    <row r="1" spans="1:3" ht="19" x14ac:dyDescent="0.25">
      <c r="A1" s="3" t="s">
        <v>567</v>
      </c>
    </row>
    <row r="2" spans="1:3" x14ac:dyDescent="0.2">
      <c r="A2" s="4" t="s">
        <v>568</v>
      </c>
    </row>
    <row r="4" spans="1:3" x14ac:dyDescent="0.2">
      <c r="A4" s="1" t="s">
        <v>129</v>
      </c>
      <c r="B4" s="1" t="s">
        <v>130</v>
      </c>
      <c r="C4" s="1" t="s">
        <v>131</v>
      </c>
    </row>
    <row r="5" spans="1:3" x14ac:dyDescent="0.2">
      <c r="A5" t="s">
        <v>132</v>
      </c>
      <c r="B5">
        <v>8</v>
      </c>
      <c r="C5">
        <v>6</v>
      </c>
    </row>
    <row r="6" spans="1:3" x14ac:dyDescent="0.2">
      <c r="A6" t="s">
        <v>133</v>
      </c>
      <c r="B6">
        <v>7</v>
      </c>
      <c r="C6">
        <v>9</v>
      </c>
    </row>
    <row r="7" spans="1:3" x14ac:dyDescent="0.2">
      <c r="A7" t="s">
        <v>134</v>
      </c>
      <c r="B7">
        <v>6</v>
      </c>
      <c r="C7">
        <v>8</v>
      </c>
    </row>
    <row r="8" spans="1:3" x14ac:dyDescent="0.2">
      <c r="A8" t="s">
        <v>135</v>
      </c>
      <c r="B8">
        <v>9</v>
      </c>
      <c r="C8">
        <v>5</v>
      </c>
    </row>
    <row r="9" spans="1:3" x14ac:dyDescent="0.2">
      <c r="A9" t="s">
        <v>136</v>
      </c>
      <c r="B9">
        <v>5</v>
      </c>
      <c r="C9">
        <v>8</v>
      </c>
    </row>
    <row r="10" spans="1:3" x14ac:dyDescent="0.2">
      <c r="A10" t="s">
        <v>137</v>
      </c>
      <c r="B10">
        <v>8</v>
      </c>
      <c r="C10">
        <v>7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FAC17-E532-524E-98BD-A70C6C6531B7}">
  <dimension ref="A1:C8"/>
  <sheetViews>
    <sheetView workbookViewId="0"/>
  </sheetViews>
  <sheetFormatPr baseColWidth="10" defaultRowHeight="16" x14ac:dyDescent="0.2"/>
  <cols>
    <col min="1" max="1" width="159" bestFit="1" customWidth="1"/>
    <col min="2" max="3" width="9.33203125" bestFit="1" customWidth="1"/>
  </cols>
  <sheetData>
    <row r="1" spans="1:3" ht="19" x14ac:dyDescent="0.25">
      <c r="A1" s="12" t="s">
        <v>145</v>
      </c>
      <c r="B1" s="13"/>
      <c r="C1" s="13"/>
    </row>
    <row r="2" spans="1:3" x14ac:dyDescent="0.2">
      <c r="A2" s="14" t="s">
        <v>569</v>
      </c>
      <c r="B2" s="13"/>
      <c r="C2" s="13"/>
    </row>
    <row r="3" spans="1:3" x14ac:dyDescent="0.2">
      <c r="A3" s="13"/>
      <c r="B3" s="13"/>
      <c r="C3" s="13"/>
    </row>
    <row r="4" spans="1:3" x14ac:dyDescent="0.2">
      <c r="A4" s="15" t="s">
        <v>104</v>
      </c>
      <c r="B4" s="15" t="s">
        <v>8</v>
      </c>
      <c r="C4" s="15" t="s">
        <v>570</v>
      </c>
    </row>
    <row r="5" spans="1:3" x14ac:dyDescent="0.2">
      <c r="A5" s="13" t="s">
        <v>105</v>
      </c>
      <c r="B5" s="17">
        <v>250000</v>
      </c>
      <c r="C5" s="17">
        <v>182000</v>
      </c>
    </row>
    <row r="6" spans="1:3" x14ac:dyDescent="0.2">
      <c r="A6" s="13" t="s">
        <v>106</v>
      </c>
      <c r="B6" s="17">
        <v>269000</v>
      </c>
      <c r="C6" s="17">
        <v>191000</v>
      </c>
    </row>
    <row r="7" spans="1:3" x14ac:dyDescent="0.2">
      <c r="A7" s="13" t="s">
        <v>107</v>
      </c>
      <c r="B7" s="17">
        <v>308000</v>
      </c>
      <c r="C7" s="17">
        <v>205000</v>
      </c>
    </row>
    <row r="8" spans="1:3" x14ac:dyDescent="0.2">
      <c r="A8" s="13" t="s">
        <v>108</v>
      </c>
      <c r="B8" s="17">
        <v>328000</v>
      </c>
      <c r="C8" s="17">
        <v>213000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0. Read Me</vt:lpstr>
      <vt:lpstr>01 Sorting</vt:lpstr>
      <vt:lpstr>02 Filtering</vt:lpstr>
      <vt:lpstr>03 Creating a Table</vt:lpstr>
      <vt:lpstr>04 Table Design Tab</vt:lpstr>
      <vt:lpstr>05 Resizing a Table</vt:lpstr>
      <vt:lpstr>06 Removing Duplicates</vt:lpstr>
      <vt:lpstr>07 Convert to Range</vt:lpstr>
      <vt:lpstr>08 Table Styles</vt:lpstr>
      <vt:lpstr>09 CF Basics</vt:lpstr>
      <vt:lpstr>10 Highlight Cell Rules</vt:lpstr>
      <vt:lpstr>11 Greater Than</vt:lpstr>
      <vt:lpstr>12 Less Than</vt:lpstr>
      <vt:lpstr>13 Between</vt:lpstr>
      <vt:lpstr>14 Equal To</vt:lpstr>
      <vt:lpstr>15 Text That Contains</vt:lpstr>
      <vt:lpstr>16 A Date Occurring</vt:lpstr>
      <vt:lpstr>17 Duplicate &amp; Unique</vt:lpstr>
      <vt:lpstr>18 Top Bottom Rules</vt:lpstr>
      <vt:lpstr>19 Above Below Average</vt:lpstr>
      <vt:lpstr>20 Data Bars</vt:lpstr>
      <vt:lpstr>21 Color Scales</vt:lpstr>
      <vt:lpstr>22 Icon Sets</vt:lpstr>
      <vt:lpstr>23 Managing Rules</vt:lpstr>
      <vt:lpstr>24 Bar Chart</vt:lpstr>
      <vt:lpstr>25 Stacked Bar Chart</vt:lpstr>
      <vt:lpstr>26 Stacked Column Chart</vt:lpstr>
      <vt:lpstr>27 Pie Chart</vt:lpstr>
      <vt:lpstr>28 Line Chart</vt:lpstr>
      <vt:lpstr>29 Stacked Line Chart</vt:lpstr>
      <vt:lpstr>30 100 Pct Stacked Line</vt:lpstr>
      <vt:lpstr>31 Radar Chart</vt:lpstr>
      <vt:lpstr>32 Customising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박진우/22100311</dc:creator>
  <cp:lastModifiedBy>박진우/22100311</cp:lastModifiedBy>
  <dcterms:created xsi:type="dcterms:W3CDTF">2026-08-10T09:37:55Z</dcterms:created>
  <dcterms:modified xsi:type="dcterms:W3CDTF">2026-08-12T06:52:53Z</dcterms:modified>
</cp:coreProperties>
</file>